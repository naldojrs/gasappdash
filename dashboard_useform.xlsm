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people.ey.com/personal/allyssia_nascimento_br_ey_com/Documents/Desktop/Curso - Engenharia de Dados/Projeto Final Ipiranga/"/>
    </mc:Choice>
  </mc:AlternateContent>
  <xr:revisionPtr revIDLastSave="71" documentId="13_ncr:1_{EBE56D8C-150C-4E37-A6AB-534FB5C91DA1}" xr6:coauthVersionLast="47" xr6:coauthVersionMax="47" xr10:uidLastSave="{2EB43D31-9D9E-4892-9B6F-A3B9898220FD}"/>
  <bookViews>
    <workbookView xWindow="-108" yWindow="-108" windowWidth="23256" windowHeight="12576" xr2:uid="{41AA7807-EC25-40F5-A094-FD55E8E2FF61}"/>
  </bookViews>
  <sheets>
    <sheet name="MENU" sheetId="1" r:id="rId1"/>
    <sheet name="DASHBOARD" sheetId="5" r:id="rId2"/>
    <sheet name="BACKEND" sheetId="6" r:id="rId3"/>
    <sheet name="INFO" sheetId="7" r:id="rId4"/>
    <sheet name="Listas" sheetId="8" state="hidden" r:id="rId5"/>
  </sheets>
  <definedNames>
    <definedName name="_xlnm._FilterDatabase" localSheetId="2" hidden="1">BACKEND!$U$16:$V$22</definedName>
    <definedName name="_xlcn.WorksheetConnection_dashboard.xlsxDATA_TB1" hidden="1">DATA_TB[]</definedName>
    <definedName name="listafrequencia">Listas!$E$2:$E$6</definedName>
    <definedName name="listamodal">Listas!$G$2:$G$5</definedName>
    <definedName name="listaregiao">Listas!$C$2:$C$6</definedName>
    <definedName name="listarenda">Listas!$A$2:$A$6</definedName>
    <definedName name="listavalor">Listas!$I$2:$I$6</definedName>
    <definedName name="SegmentaçãodeDados_Qual_a_sua_Região?">#N/A</definedName>
    <definedName name="SegmentaçãodeDados_Qual_modal_você_utiliza?">#N/A</definedName>
    <definedName name="SegmentaçãodeDados_Qual_seu_gênero?">#N/A</definedName>
    <definedName name="SegmentaçãodeDados_Qual_sua_faixa_de_renda?">#N/A</definedName>
    <definedName name="SegmentaçãodeDados_Qual_sua_idade">#N/A</definedName>
  </definedNames>
  <calcPr calcId="191029"/>
  <extLst>
    <ext xmlns:x14="http://schemas.microsoft.com/office/spreadsheetml/2009/9/main" uri="{876F7934-8845-4945-9796-88D515C7AA90}">
      <x14:pivotCaches>
        <pivotCache cacheId="0" r:id="rId6"/>
      </x14:pivotCaches>
    </ex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841E416B-1EF1-43b6-AB56-02D37102CBD5}">
      <x15:pivotCaches>
        <pivotCache cacheId="1" r:id="rId12"/>
        <pivotCache cacheId="2" r:id="rId13"/>
        <pivotCache cacheId="3" r:id="rId14"/>
        <pivotCache cacheId="4" r:id="rId15"/>
        <pivotCache cacheId="5" r:id="rId16"/>
        <pivotCache cacheId="6" r:id="rId17"/>
      </x15:pivotCaches>
    </ext>
    <ext xmlns:x15="http://schemas.microsoft.com/office/spreadsheetml/2010/11/main" uri="{983426D0-5260-488c-9760-48F4B6AC55F4}">
      <x15:pivotTableReferences>
        <x15:pivotTableReference r:id="rId18"/>
        <x15:pivotTableReference r:id="rId19"/>
        <x15:pivotTableReference r:id="rId20"/>
        <x15:pivotTableReference r:id="rId21"/>
        <x15:pivotTableReference r:id="rId22"/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_TB" name="DATA_TB" connection="WorksheetConnection_dashboard.xlsx!DATA_T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4" i="6" l="1" a="1"/>
  <c r="Q54" i="6"/>
  <c r="S54" i="6"/>
  <c r="T54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T38" i="6"/>
  <c r="T39" i="6"/>
  <c r="T40" i="6"/>
  <c r="T41" i="6"/>
  <c r="T42" i="6"/>
  <c r="T43" i="6"/>
  <c r="T44" i="6"/>
  <c r="T45" i="6"/>
  <c r="T46" i="6"/>
  <c r="T47" i="6"/>
  <c r="T48" i="6"/>
  <c r="T49" i="6"/>
  <c r="T50" i="6"/>
  <c r="T51" i="6"/>
  <c r="T52" i="6"/>
  <c r="T53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C9" i="6"/>
  <c r="Q11" i="6" a="1"/>
  <c r="Q11" i="6" s="1"/>
  <c r="Q12" i="6" a="1"/>
  <c r="Q12" i="6" s="1"/>
  <c r="Q13" i="6" a="1"/>
  <c r="Q13" i="6" s="1"/>
  <c r="Q14" i="6" a="1"/>
  <c r="Q14" i="6" s="1"/>
  <c r="Q15" i="6" a="1"/>
  <c r="Q15" i="6" s="1"/>
  <c r="Q16" i="6" a="1"/>
  <c r="Q16" i="6" s="1"/>
  <c r="Q17" i="6" a="1"/>
  <c r="Q17" i="6" s="1"/>
  <c r="Q18" i="6" a="1"/>
  <c r="Q18" i="6" s="1"/>
  <c r="Q19" i="6" a="1"/>
  <c r="Q19" i="6" s="1"/>
  <c r="Q20" i="6" a="1"/>
  <c r="Q20" i="6" s="1"/>
  <c r="Q21" i="6" a="1"/>
  <c r="Q21" i="6" s="1"/>
  <c r="Q22" i="6" a="1"/>
  <c r="Q22" i="6" s="1"/>
  <c r="Q23" i="6" a="1"/>
  <c r="Q23" i="6" s="1"/>
  <c r="Q24" i="6" a="1"/>
  <c r="Q24" i="6" s="1"/>
  <c r="Q25" i="6" a="1"/>
  <c r="Q25" i="6" s="1"/>
  <c r="Q26" i="6" a="1"/>
  <c r="Q26" i="6" s="1"/>
  <c r="Q27" i="6" a="1"/>
  <c r="Q27" i="6" s="1"/>
  <c r="Q28" i="6" a="1"/>
  <c r="Q28" i="6" s="1"/>
  <c r="Q29" i="6" a="1"/>
  <c r="Q29" i="6" s="1"/>
  <c r="Q30" i="6" a="1"/>
  <c r="Q30" i="6" s="1"/>
  <c r="Q31" i="6" a="1"/>
  <c r="Q31" i="6" s="1"/>
  <c r="Q32" i="6" a="1"/>
  <c r="Q32" i="6" s="1"/>
  <c r="Q33" i="6" a="1"/>
  <c r="Q33" i="6" s="1"/>
  <c r="Q34" i="6" a="1"/>
  <c r="Q34" i="6" s="1"/>
  <c r="Q35" i="6" a="1"/>
  <c r="Q35" i="6" s="1"/>
  <c r="Q36" i="6" a="1"/>
  <c r="Q36" i="6" s="1"/>
  <c r="Q37" i="6" a="1"/>
  <c r="Q37" i="6" s="1"/>
  <c r="Q38" i="6" a="1"/>
  <c r="Q38" i="6" s="1"/>
  <c r="Q39" i="6" a="1"/>
  <c r="Q39" i="6" s="1"/>
  <c r="Q40" i="6" a="1"/>
  <c r="Q40" i="6" s="1"/>
  <c r="Q41" i="6" a="1"/>
  <c r="Q41" i="6" s="1"/>
  <c r="Q42" i="6" a="1"/>
  <c r="Q42" i="6" s="1"/>
  <c r="Q43" i="6" a="1"/>
  <c r="Q43" i="6" s="1"/>
  <c r="Q44" i="6" a="1"/>
  <c r="Q44" i="6" s="1"/>
  <c r="Q45" i="6" a="1"/>
  <c r="Q45" i="6" s="1"/>
  <c r="Q46" i="6" a="1"/>
  <c r="Q46" i="6" s="1"/>
  <c r="Q47" i="6" a="1"/>
  <c r="Q47" i="6" s="1"/>
  <c r="Q48" i="6" a="1"/>
  <c r="Q48" i="6" s="1"/>
  <c r="Q49" i="6" a="1"/>
  <c r="Q49" i="6" s="1"/>
  <c r="Q50" i="6" a="1"/>
  <c r="Q50" i="6" s="1"/>
  <c r="Q51" i="6" a="1"/>
  <c r="Q51" i="6" s="1"/>
  <c r="Q52" i="6" a="1"/>
  <c r="Q52" i="6" s="1"/>
  <c r="Q53" i="6" a="1"/>
  <c r="Q53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4B3D7E-FFD7-4ECF-967F-BF0B71739616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0340973-E061-4123-B41B-CC9C8027D404}" name="WorksheetConnection_dashboard.xlsx!DATA_TB" type="102" refreshedVersion="8" minRefreshableVersion="5">
    <extLst>
      <ext xmlns:x15="http://schemas.microsoft.com/office/spreadsheetml/2010/11/main" uri="{DE250136-89BD-433C-8126-D09CA5730AF9}">
        <x15:connection id="DATA_TB" autoDelete="1">
          <x15:rangePr sourceName="_xlcn.WorksheetConnection_dashboard.xlsxDATA_TB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<sst xmlns="http://schemas.openxmlformats.org/spreadsheetml/2006/main" count="523" uniqueCount="170">
  <si>
    <t>Carimbo de data/hora</t>
  </si>
  <si>
    <t>Endereço de e-mail</t>
  </si>
  <si>
    <t>Qual sua idade</t>
  </si>
  <si>
    <t>Qual seu gênero?</t>
  </si>
  <si>
    <t>Qual a sua Região?</t>
  </si>
  <si>
    <t>Qual sua faixa de renda?</t>
  </si>
  <si>
    <t>Com que frequência você utiliza aplicativos de descontos e vantagens em postos de gasolina?</t>
  </si>
  <si>
    <t>Qual modal você utiliza?</t>
  </si>
  <si>
    <t>Quanto você estima economizar mensalmente usando aplicativos de descontos e vantagens em postos de gasolina?</t>
  </si>
  <si>
    <t>Quais são os principais motivos que levam você a utilizar aplicativos de descontos e vantagens em postos de gasolina?</t>
  </si>
  <si>
    <t>Como você ficou sabendo desses aplicativos de descontos e vantagens? (ex.: amigos, redes sociais, publicidade, funcionários do posto, etc.)</t>
  </si>
  <si>
    <t>Quais aspectos você considera mais importantes em um aplicativo de descontos e vantagens para postos de gasolina? (ex: facilidade de uso, variedade de vantagens, confiabilidade, etc.)</t>
  </si>
  <si>
    <t>Com base em sua experiência, quais melhorias você gostaria de ver nos aplicativos de descontos e vantagens para postos de gasolina?</t>
  </si>
  <si>
    <t>Você já teve algum problema ou dificuldade ao utilizar aplicativos de descontos e vantagens em postos de gasolina? Se sim, descreva o ocorrido e como foi resolvido (se foi resolvido).</t>
  </si>
  <si>
    <t>O que você acredita que um aplicativo de descontos e vantagens deveria ter para que você considerasse utilizá-lo?</t>
  </si>
  <si>
    <t>ofserick@gmail.com</t>
  </si>
  <si>
    <t>Masculino</t>
  </si>
  <si>
    <t>Sudeste</t>
  </si>
  <si>
    <t>Acima de R$ 8.001,00</t>
  </si>
  <si>
    <t>Não utilizo</t>
  </si>
  <si>
    <t>R$ 2.001,00 - R$ 4.000,00</t>
  </si>
  <si>
    <t>Transporte por Aplicativo</t>
  </si>
  <si>
    <t>R$ 101,00 - R$ 150,00</t>
  </si>
  <si>
    <t>economia</t>
  </si>
  <si>
    <t>facilidade</t>
  </si>
  <si>
    <t>viromanuela@gmail.com</t>
  </si>
  <si>
    <t>Feminino</t>
  </si>
  <si>
    <t>Maior validade para uso.</t>
  </si>
  <si>
    <t>thiagorosario10@gmail.com</t>
  </si>
  <si>
    <t>Descontos consideráveis para os postos da região onde vivo, além do próprio app apresentar uma interface limpa e de fácil entendimento e não sofrer problemas como bugs e travamentos.</t>
  </si>
  <si>
    <t>gabriel.casanova.gonela@gmail.com</t>
  </si>
  <si>
    <t>Até R$ 2.000,00</t>
  </si>
  <si>
    <t>Mensalmente</t>
  </si>
  <si>
    <t>Carro</t>
  </si>
  <si>
    <t>R$ 51,00 - R$ 100,00</t>
  </si>
  <si>
    <t>Assim posso aproveitar o dinheiro gasto da melhor forma possível</t>
  </si>
  <si>
    <t>Recomendações de amigos</t>
  </si>
  <si>
    <t>Variedades de vantagens e confiabilidade</t>
  </si>
  <si>
    <t>Gostaria que tivesse mais formar de adquirir descontos e vantagens como por exemplo alguma promoção especial</t>
  </si>
  <si>
    <t>Nunca tive</t>
  </si>
  <si>
    <t>Uma vantagem que atraia o cliente com confiabilidade e vantagens</t>
  </si>
  <si>
    <t>arivascsts@icloud.com</t>
  </si>
  <si>
    <t>R$ 6.001,00 - R$ 8.000,00</t>
  </si>
  <si>
    <t>Desconto e vale ducha</t>
  </si>
  <si>
    <t>gabrielsrocha37@gmail.com</t>
  </si>
  <si>
    <t>Semanalmente</t>
  </si>
  <si>
    <t>Os benefícios e descontos.</t>
  </si>
  <si>
    <t>Publicidade</t>
  </si>
  <si>
    <t>Facilidade no uso</t>
  </si>
  <si>
    <t>Mais benefícios e cashback.</t>
  </si>
  <si>
    <t>Problemas no login do aplicativo, depois de reinstalar 5 vezes consegui acessar.</t>
  </si>
  <si>
    <t>Descontos no abastecimento e brindes.</t>
  </si>
  <si>
    <t>thallysjanuario@gmail.com</t>
  </si>
  <si>
    <t>Descontos reais e não simbólicos, pois um abastecimento de R$ 100 muitas vezes não chega a R$ 5 de desconto, e as vantagens não agradam tanto.</t>
  </si>
  <si>
    <t>maurobronquinha1972@gmail.com</t>
  </si>
  <si>
    <t>R$ 4.001,00 - R$ 6.000,00</t>
  </si>
  <si>
    <t>Eu na real não sei qual os tipos de vantagens eles tem</t>
  </si>
  <si>
    <t>luisa_siqueira8@hotmail.com</t>
  </si>
  <si>
    <t>Ter benefícios reais ao cliente</t>
  </si>
  <si>
    <t>marcosantoniojr@hotmail.com</t>
  </si>
  <si>
    <t>Quinzenalmente</t>
  </si>
  <si>
    <t>Até R$ 50,00</t>
  </si>
  <si>
    <t>Economia</t>
  </si>
  <si>
    <t>Mais desconto</t>
  </si>
  <si>
    <t>Sim, fora do ar.</t>
  </si>
  <si>
    <t>Desconto</t>
  </si>
  <si>
    <t>Ser facil</t>
  </si>
  <si>
    <t>Bastante desconto</t>
  </si>
  <si>
    <t>Usa lo em vários postos da mesma bandeira</t>
  </si>
  <si>
    <t>Ter postos bom como participantes e fácil entendimento para os usuários</t>
  </si>
  <si>
    <t>Praticidade</t>
  </si>
  <si>
    <t>Sim</t>
  </si>
  <si>
    <t>Combustível está caro</t>
  </si>
  <si>
    <t>Funcionário do posto</t>
  </si>
  <si>
    <t>Facilidade de uso e boa vantagem</t>
  </si>
  <si>
    <t>Mais ágil</t>
  </si>
  <si>
    <t>Sim, o app estava fora do ar, não resolvi d imediato</t>
  </si>
  <si>
    <t>Bom desconto e q fosse progressivo.</t>
  </si>
  <si>
    <t>Preço</t>
  </si>
  <si>
    <t>Boa divulgação. Promoções atrativas.</t>
  </si>
  <si>
    <t>Tutorial didático e melhores orientações e benefícios.</t>
  </si>
  <si>
    <t>Descontos</t>
  </si>
  <si>
    <t>Vantagens por utilizar frequentemente ou descontos e promoções</t>
  </si>
  <si>
    <t>Simplicidade e objetividade da plataforma</t>
  </si>
  <si>
    <t>pereira.lais99@gmail.com</t>
  </si>
  <si>
    <t>Uma melhor propaganda e uma manejo certo para que os descontos sejam mais atrativos</t>
  </si>
  <si>
    <t>Facilidade para usar o desconto. Por exemplo: não vincular o desconto com cartão de crédito, vc tem que informar dados do cartão para ter o desconto.</t>
  </si>
  <si>
    <t>Desconto na gasosa e acessibilidade</t>
  </si>
  <si>
    <t>Bons descontos</t>
  </si>
  <si>
    <t>Transparencia</t>
  </si>
  <si>
    <t>Desconto para viagens, quanto mais usar o aplicativo ir acumulando pontos e trocar por abastecimento</t>
  </si>
  <si>
    <t>O desconto</t>
  </si>
  <si>
    <t>Vantagens</t>
  </si>
  <si>
    <t>Mais acessível</t>
  </si>
  <si>
    <t>Não</t>
  </si>
  <si>
    <t>Mais promoções</t>
  </si>
  <si>
    <t>o restorno em cash</t>
  </si>
  <si>
    <t>publicidade - posto de gasolina</t>
  </si>
  <si>
    <t>facilidade de uso</t>
  </si>
  <si>
    <t>Descontos em cash</t>
  </si>
  <si>
    <t>O próprio aplicativo trava ou não responde.</t>
  </si>
  <si>
    <t>descontos em cash</t>
  </si>
  <si>
    <t>Facilidade</t>
  </si>
  <si>
    <t>Centro-Oeste</t>
  </si>
  <si>
    <t>Descontos promocionais.</t>
  </si>
  <si>
    <t>Publicidade, internet, indicação de amigos.</t>
  </si>
  <si>
    <t>Variedade de vantagens</t>
  </si>
  <si>
    <t>Mais opções vantajosas.</t>
  </si>
  <si>
    <t>Sim, no posto Ipiranga (fora do ar, inoperante).</t>
  </si>
  <si>
    <t>Sorteios mensais, em espécie ou produtos.</t>
  </si>
  <si>
    <t>Custo, benefício. Economia em postos de confiança. Eu utilizo vários aplicativos de desconto em vários comércios.</t>
  </si>
  <si>
    <t>Publicidade e Redes Sociais</t>
  </si>
  <si>
    <t>Facilidade de uso, clareza nas informações, e maior agilidade. Confiabilidade já deveria estar presente devido a LGPD</t>
  </si>
  <si>
    <t>Programa de fidelidade, informações claras e manejo objetivo.</t>
  </si>
  <si>
    <t>Sim. Demora na navegação, não reconhece o cupom, para mudar senha é terrível.</t>
  </si>
  <si>
    <t>Proteção dos dados e objetividade no manejo.</t>
  </si>
  <si>
    <t>Incentivo e divulgação</t>
  </si>
  <si>
    <t>Economia de custos.</t>
  </si>
  <si>
    <t>Posto Ipiranga</t>
  </si>
  <si>
    <t>Serviços nos postos como por exemplo ducha no carro</t>
  </si>
  <si>
    <t>Não.</t>
  </si>
  <si>
    <t>Estou satisfeito.</t>
  </si>
  <si>
    <t>Para fazer economia</t>
  </si>
  <si>
    <t>Variedades de vantagens</t>
  </si>
  <si>
    <t>Que os pontos não expirassem</t>
  </si>
  <si>
    <t>Não expirar os pontos adquiridos</t>
  </si>
  <si>
    <t>Que proporcione uma vantagem real.</t>
  </si>
  <si>
    <t>Sul</t>
  </si>
  <si>
    <t>Agilidade nos descontos e que fossem verdadeiramente, descontos.</t>
  </si>
  <si>
    <t>Bons convênios e cashback em abastecimento</t>
  </si>
  <si>
    <t>Entre 31 e 59 anos</t>
  </si>
  <si>
    <t>Entre 22 e 30 anos</t>
  </si>
  <si>
    <t>Entre 18 e 21 anos</t>
  </si>
  <si>
    <t>Maior que 60 anos</t>
  </si>
  <si>
    <t>Estado (Placeholder)</t>
  </si>
  <si>
    <t>SP</t>
  </si>
  <si>
    <t>RJ</t>
  </si>
  <si>
    <t>SC</t>
  </si>
  <si>
    <t>DF</t>
  </si>
  <si>
    <t>abrielrocha@outlook.com</t>
  </si>
  <si>
    <t>Eu utilizaria caso fosse uma coisa mais prática</t>
  </si>
  <si>
    <t>Renda Suporte</t>
  </si>
  <si>
    <t>Estabilidade</t>
  </si>
  <si>
    <t>Facilidade de Uso</t>
  </si>
  <si>
    <t>Abrangência</t>
  </si>
  <si>
    <t>Indeterminado</t>
  </si>
  <si>
    <t>Vantagens &amp; Benefícios</t>
  </si>
  <si>
    <t>To Have Suporte</t>
  </si>
  <si>
    <t>To Have Suporte2</t>
  </si>
  <si>
    <t>Contagem</t>
  </si>
  <si>
    <t>Renda</t>
  </si>
  <si>
    <t>Regiões</t>
  </si>
  <si>
    <t>Frequência</t>
  </si>
  <si>
    <t>Modal utilizado</t>
  </si>
  <si>
    <t>Diariamente</t>
  </si>
  <si>
    <t>Até R$50,00</t>
  </si>
  <si>
    <t>Nordeste</t>
  </si>
  <si>
    <t>Moto</t>
  </si>
  <si>
    <t>Norte</t>
  </si>
  <si>
    <t>Caminhão</t>
  </si>
  <si>
    <t>R$ 151,00 - R$ 200,00</t>
  </si>
  <si>
    <t xml:space="preserve">Não utilizo </t>
  </si>
  <si>
    <t>Acima de R$ 200,00</t>
  </si>
  <si>
    <t>allyssia.na@hotmail.com</t>
  </si>
  <si>
    <t xml:space="preserve"> </t>
  </si>
  <si>
    <t>descontos</t>
  </si>
  <si>
    <t>amigos</t>
  </si>
  <si>
    <t>melhorias</t>
  </si>
  <si>
    <t>não</t>
  </si>
  <si>
    <t>melhores descontos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</si>
</sst>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[$R$-416]\ * #,##0.00_-;\-[$R$-416]\ * #,##0.00_-;_-[$R$-416]\ * &quot;-&quot;??_-;_-@_-"/>
  </numFmts>
  <fonts count="9">
    <font>
      <sz val="11"/>
      <color theme="1"/>
      <name val="Arial Rounded MT Bold"/>
      <family val="2"/>
      <scheme val="minor"/>
    </font>
    <font>
      <sz val="24"/>
      <color theme="7" tint="0.39997558519241921"/>
      <name val="Arial Rounded MT Bold"/>
      <family val="2"/>
    </font>
    <font>
      <b/>
      <sz val="24"/>
      <color theme="4" tint="-0.249977111117893"/>
      <name val="Arial Rounded MT Bold"/>
      <family val="2"/>
    </font>
    <font>
      <b/>
      <sz val="24"/>
      <color rgb="FF0042BB"/>
      <name val="Arial Rounded MT Bold"/>
      <family val="2"/>
    </font>
    <font>
      <sz val="11"/>
      <color theme="2"/>
      <name val="Arial Rounded MT Bold"/>
      <family val="2"/>
      <scheme val="minor"/>
    </font>
    <font>
      <sz val="11"/>
      <color theme="1"/>
      <name val="Arial Rounded MT Bold"/>
      <family val="2"/>
      <scheme val="minor"/>
    </font>
    <font>
      <sz val="8"/>
      <name val="Arial Rounded MT Bold"/>
      <family val="2"/>
      <scheme val="minor"/>
    </font>
    <font>
      <sz val="10"/>
      <color rgb="FF202124"/>
      <name val="Docs-Roboto"/>
    </font>
    <font>
      <sz val="11"/>
      <color rgb="FF3B5998"/>
      <name val="Arial Rounded MT Bold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4" fillId="2" borderId="0" xfId="0" applyFont="1" applyFill="1"/>
    <xf numFmtId="0" fontId="0" fillId="0" borderId="0" xfId="0" applyAlignment="1">
      <alignment horizontal="center" vertical="center" wrapText="1"/>
    </xf>
    <xf numFmtId="22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9" fontId="0" fillId="0" borderId="0" xfId="1" applyFont="1" applyFill="1" applyAlignment="1">
      <alignment horizontal="center" vertical="center" wrapText="1"/>
    </xf>
    <xf numFmtId="0" fontId="1" fillId="3" borderId="0" xfId="0" applyFont="1" applyFill="1" applyAlignment="1">
      <alignment vertical="center"/>
    </xf>
    <xf numFmtId="0" fontId="0" fillId="3" borderId="0" xfId="0" applyFill="1"/>
    <xf numFmtId="0" fontId="7" fillId="0" borderId="0" xfId="0" applyFont="1"/>
    <xf numFmtId="0" fontId="3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22" fontId="0" fillId="0" borderId="0" xfId="0" applyNumberFormat="1" applyFill="1" applyAlignment="1">
      <alignment horizontal="center" vertical="center" wrapText="1"/>
    </xf>
    <xf numFmtId="0" fontId="0" fillId="0" borderId="0" xfId="0" quotePrefix="1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4" fontId="0" fillId="0" borderId="0" xfId="0" applyNumberFormat="1" applyFill="1" applyAlignment="1">
      <alignment horizontal="center" vertical="center" wrapText="1"/>
    </xf>
    <xf numFmtId="0" fontId="0" fillId="0" borderId="0" xfId="0" applyNumberFormat="1" applyFill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26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64" formatCode="_-[$R$-416]\ * #,##0.00_-;\-[$R$-416]\ * #,##0.00_-;_-[$R$-416]\ * &quot;-&quot;??_-;_-@_-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9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rgb="FF0E1A40"/>
        <name val="Arial Rounded MT Bold"/>
        <family val="2"/>
        <scheme val="none"/>
      </font>
    </dxf>
    <dxf>
      <font>
        <color rgb="FF0E1A40"/>
      </font>
    </dxf>
  </dxfs>
  <tableStyles count="2" defaultTableStyle="TableStyleMedium2" defaultPivotStyle="PivotStyleLight16">
    <tableStyle name="Estilo de Segmentação de Dados 1" pivot="0" table="0" count="4" xr9:uid="{60A588E2-C32D-4A96-A7C3-93E86EB36D73}">
      <tableStyleElement type="wholeTable" dxfId="25"/>
      <tableStyleElement type="headerRow" dxfId="24"/>
    </tableStyle>
    <tableStyle name="SlicerStyleDark1 2" pivot="0" table="0" count="10" xr9:uid="{9A6655CA-70AE-4720-9632-16DA29D433AB}">
      <tableStyleElement type="wholeTable" dxfId="23"/>
      <tableStyleElement type="headerRow" dxfId="22"/>
    </tableStyle>
  </tableStyles>
  <colors>
    <mruColors>
      <color rgb="FF0E1A40"/>
      <color rgb="FF0042BB"/>
      <color rgb="FF192E71"/>
      <color rgb="FFFFF4CC"/>
    </mruColors>
  </colors>
  <extLst>
    <ext xmlns:x14="http://schemas.microsoft.com/office/spreadsheetml/2009/9/main" uri="{46F421CA-312F-682f-3DD2-61675219B42D}">
      <x14:dxfs count="10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rgb="FF0E1A40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E1A40"/>
          </font>
          <fill>
            <patternFill>
              <bgColor theme="0"/>
            </patternFill>
          </fill>
        </dxf>
        <dxf>
          <font>
            <color theme="0"/>
            <name val="Arial Rounded MT Bold"/>
            <family val="2"/>
            <scheme val="none"/>
          </font>
          <fill>
            <patternFill patternType="solid">
              <fgColor auto="1"/>
              <bgColor rgb="FF0E1A4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9"/>
            <x14:slicerStyleElement type="selectedItemWithNoData" dxfId="8"/>
          </x14:slicerStyleElements>
        </x14:slicerStyle>
        <x14:slicerStyle name="SlicerStyleDark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pivotCacheDefinition" Target="pivotCache/pivotCacheDefinition3.xml"/><Relationship Id="rId18" Type="http://schemas.openxmlformats.org/officeDocument/2006/relationships/pivotTable" Target="pivotTables/pivotTable1.xml"/><Relationship Id="rId26" Type="http://schemas.openxmlformats.org/officeDocument/2006/relationships/styles" Target="styles.xml"/><Relationship Id="rId39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21" Type="http://schemas.openxmlformats.org/officeDocument/2006/relationships/pivotTable" Target="pivotTables/pivotTable4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microsoft.com/office/2006/relationships/vbaProject" Target="vbaProject.bin"/><Relationship Id="rId7" Type="http://schemas.microsoft.com/office/2007/relationships/slicerCache" Target="slicerCaches/slicerCache1.xml"/><Relationship Id="rId12" Type="http://schemas.openxmlformats.org/officeDocument/2006/relationships/pivotCacheDefinition" Target="pivotCache/pivotCacheDefinition2.xml"/><Relationship Id="rId17" Type="http://schemas.openxmlformats.org/officeDocument/2006/relationships/pivotCacheDefinition" Target="pivotCache/pivotCacheDefinition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6.xml"/><Relationship Id="rId20" Type="http://schemas.openxmlformats.org/officeDocument/2006/relationships/pivotTable" Target="pivotTables/pivotTable3.xml"/><Relationship Id="rId29" Type="http://schemas.openxmlformats.org/officeDocument/2006/relationships/powerPivotData" Target="model/item.data"/><Relationship Id="rId41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5.xml"/><Relationship Id="rId23" Type="http://schemas.openxmlformats.org/officeDocument/2006/relationships/pivotTable" Target="pivotTables/pivotTable6.xml"/><Relationship Id="rId28" Type="http://schemas.openxmlformats.org/officeDocument/2006/relationships/sheetMetadata" Target="metadata.xml"/><Relationship Id="rId36" Type="http://schemas.openxmlformats.org/officeDocument/2006/relationships/customXml" Target="../customXml/item6.xml"/><Relationship Id="rId10" Type="http://schemas.microsoft.com/office/2007/relationships/slicerCache" Target="slicerCaches/slicerCache4.xml"/><Relationship Id="rId19" Type="http://schemas.openxmlformats.org/officeDocument/2006/relationships/pivotTable" Target="pivotTables/pivotTable2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pivotCacheDefinition" Target="pivotCache/pivotCacheDefinition4.xml"/><Relationship Id="rId22" Type="http://schemas.openxmlformats.org/officeDocument/2006/relationships/pivotTable" Target="pivotTables/pivotTable5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7.6282048971874142E-2"/>
              <c:y val="-4.5393063038507595E-17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-4.4568249469899082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0042BB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6.9743587631427795E-2"/>
              <c:y val="0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C9321F20-F916-422F-8A86-1CAE31FAE491}" type="PERCENTAGE">
                  <a:rPr lang="en-US" sz="1100" baseline="0"/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7"/>
        <c:spPr>
          <a:solidFill>
            <a:srgbClr val="00B0F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6.5384613404463554E-2"/>
              <c:y val="1.4856083156633027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6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dLbl>
          <c:idx val="0"/>
          <c:layout>
            <c:manualLayout>
              <c:x val="-1.7435896907856987E-2"/>
              <c:y val="-7.42804157831651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fld id="{4F17A1DE-BB7F-4B42-82A0-4814CB1074A4}" type="PERCENTAGE">
                  <a:rPr lang="en-US" sz="1100" baseline="0"/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t>[PERCENTAGE]</a:t>
                </a:fld>
                <a:endParaRPr lang="pt-B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0"/>
          <c:showCatName val="0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v>Total</c:v>
          </c:tx>
          <c:dPt>
            <c:idx val="0"/>
            <c:bubble3D val="0"/>
            <c:spPr>
              <a:solidFill>
                <a:schemeClr val="accent4">
                  <a:lumMod val="75000"/>
                </a:schemeClr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1DA-4CF2-B40A-8E6EB0E734D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1DA-4CF2-B40A-8E6EB0E734D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1DA-4CF2-B40A-8E6EB0E734D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1DA-4CF2-B40A-8E6EB0E734D8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1DA-4CF2-B40A-8E6EB0E734D8}"/>
              </c:ext>
            </c:extLst>
          </c:dPt>
          <c:dLbls>
            <c:dLbl>
              <c:idx val="0"/>
              <c:layout>
                <c:manualLayout>
                  <c:x val="-6.5384613404463554E-2"/>
                  <c:y val="-4.4568249469899082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1" i="0" u="none" strike="noStrike" kern="1200" baseline="0">
                      <a:solidFill>
                        <a:srgbClr val="0E1A4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1DA-4CF2-B40A-8E6EB0E734D8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Até R$ 2.000,00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A-7AA4-4C5A-B1D9-1DC7265CD65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[dashboard.xlsm]PivotChartTable4</c15:name>
        <c15:fmtId val="0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Frequência de Uso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"/>
              <c:pt idx="0">
                <c:v>Não utilizo</c:v>
              </c:pt>
            </c:strLit>
          </c:cat>
          <c:val>
            <c:numLit>
              <c:formatCode>0.00%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5BD2-4768-8E98-E436B5B5B39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%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0.00%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[dashboard.xlsm]PivotChartTable5</c15:name>
        <c15:fmtId val="3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Distribuição de Renda/Gênero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Feminino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rgbClr val="0E1A4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Até R$ 2.000,00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400E-4F83-A19F-445E33357AA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299055375"/>
        <c:axId val="299059695"/>
      </c:barChart>
      <c:catAx>
        <c:axId val="29905537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[dashboard.xlsm]PivotChartTable6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Modais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4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rgbClr val="0E1A4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0E1A4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Carro</c:v>
          </c:tx>
          <c:spPr>
            <a:solidFill>
              <a:srgbClr val="0E1A40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A2C2-47E8-9AF6-00BD7894C1A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299055375"/>
        <c:axId val="299059695"/>
      </c:barChart>
      <c:catAx>
        <c:axId val="299055375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299055375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[dashboard.xlsm]PivotChartTable7</c15:name>
        <c15:fmtId val="6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E1A4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rgbClr val="0E1A40"/>
                </a:solidFill>
              </a:rPr>
              <a:t>Motivação Utilização</a:t>
            </a:r>
            <a:r>
              <a:rPr lang="pt-BR" baseline="0">
                <a:solidFill>
                  <a:srgbClr val="0E1A40"/>
                </a:solidFill>
              </a:rPr>
              <a:t> App</a:t>
            </a:r>
            <a:endParaRPr lang="pt-BR">
              <a:solidFill>
                <a:srgbClr val="0E1A4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E1A4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34925" cap="rnd">
            <a:solidFill>
              <a:srgbClr val="FFC000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radarChart>
        <c:radarStyle val="marker"/>
        <c:varyColors val="0"/>
        <c:ser>
          <c:idx val="0"/>
          <c:order val="0"/>
          <c:tx>
            <c:v>Total</c:v>
          </c:tx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Lit>
              <c:ptCount val="3"/>
              <c:pt idx="0">
                <c:v>Descontos</c:v>
              </c:pt>
              <c:pt idx="1">
                <c:v>Facilidade de Uso</c:v>
              </c:pt>
              <c:pt idx="2">
                <c:v>Vantagens &amp; Benefícios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1</c:v>
              </c:pt>
              <c:pt idx="2">
                <c:v>2</c:v>
              </c:pt>
            </c:numLit>
          </c:val>
          <c:extLst>
            <c:ext xmlns:c16="http://schemas.microsoft.com/office/drawing/2014/chart" uri="{C3380CC4-5D6E-409C-BE32-E72D297353CC}">
              <c16:uniqueId val="{00000000-96DD-470B-B1CD-4FEACE8CE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55375"/>
        <c:axId val="299059695"/>
      </c:radarChart>
      <c:catAx>
        <c:axId val="29905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E1A4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9695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299059695"/>
        <c:scaling>
          <c:orientation val="minMax"/>
        </c:scaling>
        <c:delete val="0"/>
        <c:axPos val="l"/>
        <c:majorGridlines>
          <c:spPr>
            <a:ln w="25400" cap="flat" cmpd="sng" algn="ctr">
              <a:solidFill>
                <a:schemeClr val="accent1">
                  <a:lumMod val="10000"/>
                  <a:alpha val="68000"/>
                </a:schemeClr>
              </a:solidFill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accent6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99055375"/>
        <c:crosses val="autoZero"/>
        <c:crossBetween val="between"/>
        <c:majorUnit val="5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E1A4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[dashboard.xlsm]PivotChartTable8</c15:name>
        <c15:fmtId val="8"/>
      </c15:pivotSource>
      <c15:pivotOptions>
        <c15:dropZoneFilter val="1"/>
        <c15:dropZoneCategories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noFill/>
          <a:ln>
            <a:noFill/>
          </a:ln>
          <a:effectLst/>
        </c:spPr>
        <c:dLbl>
          <c:idx val="0"/>
          <c:layout>
            <c:manualLayout>
              <c:x val="1.119806510415197E-2"/>
              <c:y val="-0.4905059667853413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36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no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noFill/>
          <a:ln>
            <a:noFill/>
          </a:ln>
          <a:effectLst/>
        </c:spPr>
        <c:dLbl>
          <c:idx val="0"/>
          <c:layout>
            <c:manualLayout>
              <c:x val="-8.5812808625766225E-7"/>
              <c:y val="-0.7212759015826535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48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0"/>
        <c:ser>
          <c:idx val="0"/>
          <c:order val="0"/>
          <c:tx>
            <c:v>Total</c:v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Pt>
            <c:idx val="0"/>
            <c:bubble3D val="0"/>
            <c:spPr>
              <a:noFill/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7-4B36-ABE0-E8E6658D96DB}"/>
              </c:ext>
            </c:extLst>
          </c:dPt>
          <c:dLbls>
            <c:dLbl>
              <c:idx val="0"/>
              <c:layout>
                <c:manualLayout>
                  <c:x val="-8.5812808625766225E-7"/>
                  <c:y val="-0.7212759015826535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F7-4B36-ABE0-E8E6658D96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48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1</c:v>
              </c:pt>
            </c:strLit>
          </c:cat>
          <c:val>
            <c:numLit>
              <c:formatCode>General</c:formatCode>
              <c:ptCount val="1"/>
              <c:pt idx="0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1-91F7-4B36-ABE0-E8E6658D96D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[dashboard.xlsm]PivotChartTable9</c15:name>
        <c15:fmtId val="8"/>
      </c15:pivotSource>
      <c15:pivotOptions>
        <c15:dropZoneFilter val="1"/>
        <c15:dropZoneData val="1"/>
        <c15:dropZoneSeries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18" Type="http://schemas.openxmlformats.org/officeDocument/2006/relationships/chart" Target="../charts/chart5.xml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17" Type="http://schemas.openxmlformats.org/officeDocument/2006/relationships/chart" Target="../charts/chart4.xml"/><Relationship Id="rId2" Type="http://schemas.openxmlformats.org/officeDocument/2006/relationships/hyperlink" Target="#MENU!A1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5" Type="http://schemas.openxmlformats.org/officeDocument/2006/relationships/chart" Target="../charts/chart2.xml"/><Relationship Id="rId10" Type="http://schemas.openxmlformats.org/officeDocument/2006/relationships/image" Target="../media/image7.svg"/><Relationship Id="rId19" Type="http://schemas.openxmlformats.org/officeDocument/2006/relationships/chart" Target="../charts/chart6.xml"/><Relationship Id="rId4" Type="http://schemas.openxmlformats.org/officeDocument/2006/relationships/image" Target="../media/image3.svg"/><Relationship Id="rId9" Type="http://schemas.openxmlformats.org/officeDocument/2006/relationships/image" Target="../media/image6.png"/><Relationship Id="rId14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BACKEND!A1"/><Relationship Id="rId13" Type="http://schemas.openxmlformats.org/officeDocument/2006/relationships/image" Target="../media/image9.svg"/><Relationship Id="rId3" Type="http://schemas.openxmlformats.org/officeDocument/2006/relationships/image" Target="../media/image2.png"/><Relationship Id="rId7" Type="http://schemas.openxmlformats.org/officeDocument/2006/relationships/image" Target="../media/image5.svg"/><Relationship Id="rId12" Type="http://schemas.openxmlformats.org/officeDocument/2006/relationships/image" Target="../media/image8.png"/><Relationship Id="rId2" Type="http://schemas.openxmlformats.org/officeDocument/2006/relationships/hyperlink" Target="#MENU!A1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11" Type="http://schemas.openxmlformats.org/officeDocument/2006/relationships/hyperlink" Target="#INFO!A1"/><Relationship Id="rId5" Type="http://schemas.openxmlformats.org/officeDocument/2006/relationships/hyperlink" Target="#DASHBOARD!A1"/><Relationship Id="rId10" Type="http://schemas.openxmlformats.org/officeDocument/2006/relationships/image" Target="../media/image7.svg"/><Relationship Id="rId4" Type="http://schemas.openxmlformats.org/officeDocument/2006/relationships/image" Target="../media/image3.svg"/><Relationship Id="rId9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7</xdr:col>
      <xdr:colOff>47625</xdr:colOff>
      <xdr:row>0</xdr:row>
      <xdr:rowOff>123825</xdr:rowOff>
    </xdr:from>
    <xdr:to>
      <xdr:col>8</xdr:col>
      <xdr:colOff>371475</xdr:colOff>
      <xdr:row>5</xdr:row>
      <xdr:rowOff>114300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538162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7</xdr:col>
      <xdr:colOff>154786</xdr:colOff>
      <xdr:row>0</xdr:row>
      <xdr:rowOff>80967</xdr:rowOff>
    </xdr:from>
    <xdr:to>
      <xdr:col>14</xdr:col>
      <xdr:colOff>88324</xdr:colOff>
      <xdr:row>5</xdr:row>
      <xdr:rowOff>116775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355436" y="80967"/>
          <a:ext cx="5134188" cy="969258"/>
          <a:chOff x="5421967" y="83343"/>
          <a:chExt cx="5267538" cy="97640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6" name="Gráfico 15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8" name="CaixaDeTexto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4" name="Gráfico 13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1" name="Gráfico 10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2" name="CaixaDeTexto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8" name="Agrupar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9" name="Gráfico 8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0" name="CaixaDeTexto 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723900</xdr:colOff>
          <xdr:row>1</xdr:row>
          <xdr:rowOff>106680</xdr:rowOff>
        </xdr:from>
        <xdr:to>
          <xdr:col>17</xdr:col>
          <xdr:colOff>144780</xdr:colOff>
          <xdr:row>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3B5998"/>
                  </a:solidFill>
                  <a:latin typeface="Arial Rounded MT Bold"/>
                </a:rPr>
                <a:t>Responder Pesquisa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700091</xdr:colOff>
      <xdr:row>1</xdr:row>
      <xdr:rowOff>28573</xdr:rowOff>
    </xdr:from>
    <xdr:to>
      <xdr:col>24</xdr:col>
      <xdr:colOff>748837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9529" y="219073"/>
          <a:ext cx="2334746" cy="653521"/>
        </a:xfrm>
        <a:prstGeom prst="rect">
          <a:avLst/>
        </a:prstGeom>
      </xdr:spPr>
    </xdr:pic>
    <xdr:clientData/>
  </xdr:twoCellAnchor>
  <xdr:twoCellAnchor>
    <xdr:from>
      <xdr:col>7</xdr:col>
      <xdr:colOff>87967</xdr:colOff>
      <xdr:row>0</xdr:row>
      <xdr:rowOff>83343</xdr:rowOff>
    </xdr:from>
    <xdr:to>
      <xdr:col>10</xdr:col>
      <xdr:colOff>2247974</xdr:colOff>
      <xdr:row>5</xdr:row>
      <xdr:rowOff>119151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5288617" y="83343"/>
          <a:ext cx="5188957" cy="969258"/>
          <a:chOff x="5421967" y="83343"/>
          <a:chExt cx="5267538" cy="97640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14" name="Gráfico 13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15" name="CaixaDeTexto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5" name="Agrupar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12" name="Gráfico 11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3" name="CaixaDeTexto 1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6" name="Agrupar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10" name="Gráfico 9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11" name="CaixaDeTexto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7" name="Agrupar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8" name="Gráfico 7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9" name="CaixaDeTexto 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  <xdr:twoCellAnchor editAs="absolute">
    <xdr:from>
      <xdr:col>8</xdr:col>
      <xdr:colOff>703169</xdr:colOff>
      <xdr:row>0</xdr:row>
      <xdr:rowOff>123825</xdr:rowOff>
    </xdr:from>
    <xdr:to>
      <xdr:col>9</xdr:col>
      <xdr:colOff>1018054</xdr:colOff>
      <xdr:row>5</xdr:row>
      <xdr:rowOff>115981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8484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173544</xdr:colOff>
      <xdr:row>5</xdr:row>
      <xdr:rowOff>34863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 editAs="oneCell">
    <xdr:from>
      <xdr:col>0</xdr:col>
      <xdr:colOff>100850</xdr:colOff>
      <xdr:row>7</xdr:row>
      <xdr:rowOff>4625</xdr:rowOff>
    </xdr:from>
    <xdr:to>
      <xdr:col>4</xdr:col>
      <xdr:colOff>627529</xdr:colOff>
      <xdr:row>10</xdr:row>
      <xdr:rowOff>134471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Qual a sua Região?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a sua Regiã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850" y="1302406"/>
              <a:ext cx="3574679" cy="6656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102817</xdr:colOff>
      <xdr:row>16</xdr:row>
      <xdr:rowOff>111779</xdr:rowOff>
    </xdr:from>
    <xdr:to>
      <xdr:col>1</xdr:col>
      <xdr:colOff>642936</xdr:colOff>
      <xdr:row>21</xdr:row>
      <xdr:rowOff>154780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Qual seu gênero?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eu gênero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817" y="3016904"/>
              <a:ext cx="1302119" cy="9359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170192</xdr:colOff>
      <xdr:row>12</xdr:row>
      <xdr:rowOff>20031</xdr:rowOff>
    </xdr:from>
    <xdr:to>
      <xdr:col>24</xdr:col>
      <xdr:colOff>184199</xdr:colOff>
      <xdr:row>52</xdr:row>
      <xdr:rowOff>59531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3141992" y="2153631"/>
          <a:ext cx="17178057" cy="6897500"/>
          <a:chOff x="2956254" y="2246500"/>
          <a:chExt cx="17611445" cy="7183250"/>
        </a:xfrm>
      </xdr:grpSpPr>
      <xdr:grpSp>
        <xdr:nvGrpSpPr>
          <xdr:cNvPr id="28" name="Agrupar 27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GrpSpPr/>
        </xdr:nvGrpSpPr>
        <xdr:grpSpPr>
          <a:xfrm>
            <a:off x="3043901" y="8539084"/>
            <a:ext cx="4222255" cy="681533"/>
            <a:chOff x="513313" y="1589253"/>
            <a:chExt cx="4242551" cy="684335"/>
          </a:xfrm>
        </xdr:grpSpPr>
        <xdr:sp macro="" textlink="">
          <xdr:nvSpPr>
            <xdr:cNvPr id="26" name="Retângulo: Cantos Arredondados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SpPr/>
          </xdr:nvSpPr>
          <xdr:spPr>
            <a:xfrm>
              <a:off x="3134298" y="1589253"/>
              <a:ext cx="1621566" cy="684335"/>
            </a:xfrm>
            <a:prstGeom prst="roundRect">
              <a:avLst/>
            </a:prstGeom>
            <a:solidFill>
              <a:srgbClr val="0E1A40"/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600">
                <a:solidFill>
                  <a:schemeClr val="accent4">
                    <a:lumMod val="40000"/>
                    <a:lumOff val="60000"/>
                  </a:schemeClr>
                </a:solidFill>
                <a:latin typeface="Arial Rounded MT Bold" panose="020F0704030504030204" pitchFamily="34" charset="0"/>
              </a:endParaRP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513313" y="1718041"/>
              <a:ext cx="2525358" cy="38914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pPr algn="ctr"/>
              <a:r>
                <a:rPr lang="pt-BR" sz="2000">
                  <a:solidFill>
                    <a:srgbClr val="0E1A40"/>
                  </a:solidFill>
                  <a:latin typeface="Arial Rounded MT Bold" panose="020F0704030504030204" pitchFamily="34" charset="0"/>
                </a:rPr>
                <a:t>Total de Pesquisas</a:t>
              </a:r>
            </a:p>
          </xdr:txBody>
        </xdr:sp>
      </xdr:grpSp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aphicFramePr/>
        </xdr:nvGraphicFramePr>
        <xdr:xfrm>
          <a:off x="2959054" y="2246500"/>
          <a:ext cx="5827059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6" name="Gráfico 35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GraphicFramePr>
            <a:graphicFrameLocks/>
          </xdr:cNvGraphicFramePr>
        </xdr:nvGraphicFramePr>
        <xdr:xfrm>
          <a:off x="8872959" y="2250983"/>
          <a:ext cx="5909703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GraphicFramePr>
            <a:graphicFrameLocks/>
          </xdr:cNvGraphicFramePr>
        </xdr:nvGraphicFramePr>
        <xdr:xfrm>
          <a:off x="14897523" y="2250982"/>
          <a:ext cx="5670176" cy="2564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9" name="Gráfico 38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GraphicFramePr>
            <a:graphicFrameLocks/>
          </xdr:cNvGraphicFramePr>
        </xdr:nvGraphicFramePr>
        <xdr:xfrm>
          <a:off x="2956254" y="5227540"/>
          <a:ext cx="5827059" cy="25646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40" name="Gráfico 39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GraphicFramePr>
            <a:graphicFrameLocks/>
          </xdr:cNvGraphicFramePr>
        </xdr:nvGraphicFramePr>
        <xdr:xfrm>
          <a:off x="8882485" y="5224738"/>
          <a:ext cx="5909703" cy="25741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graphicFrame macro="">
        <xdr:nvGraphicFramePr>
          <xdr:cNvPr id="41" name="Gráfico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aphicFramePr>
            <a:graphicFrameLocks/>
          </xdr:cNvGraphicFramePr>
        </xdr:nvGraphicFramePr>
        <xdr:xfrm>
          <a:off x="4388930" y="8477250"/>
          <a:ext cx="4100230" cy="952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</xdr:grpSp>
    <xdr:clientData/>
  </xdr:twoCellAnchor>
  <xdr:twoCellAnchor editAs="oneCell">
    <xdr:from>
      <xdr:col>0</xdr:col>
      <xdr:colOff>106877</xdr:colOff>
      <xdr:row>21</xdr:row>
      <xdr:rowOff>148895</xdr:rowOff>
    </xdr:from>
    <xdr:to>
      <xdr:col>2</xdr:col>
      <xdr:colOff>750094</xdr:colOff>
      <xdr:row>31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Qual sua faixa de renda?">
              <a:extLst>
                <a:ext uri="{FF2B5EF4-FFF2-40B4-BE49-F238E27FC236}">
                  <a16:creationId xmlns:a16="http://schemas.microsoft.com/office/drawing/2014/main" id="{00000000-0008-0000-01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faixa de rend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877" y="3946989"/>
              <a:ext cx="2167217" cy="17322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99174</xdr:colOff>
      <xdr:row>10</xdr:row>
      <xdr:rowOff>131388</xdr:rowOff>
    </xdr:from>
    <xdr:to>
      <xdr:col>4</xdr:col>
      <xdr:colOff>224118</xdr:colOff>
      <xdr:row>16</xdr:row>
      <xdr:rowOff>109959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Qual sua idade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sua 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174" y="1964951"/>
              <a:ext cx="3172944" cy="10501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640556</xdr:colOff>
      <xdr:row>16</xdr:row>
      <xdr:rowOff>116682</xdr:rowOff>
    </xdr:from>
    <xdr:to>
      <xdr:col>4</xdr:col>
      <xdr:colOff>183356</xdr:colOff>
      <xdr:row>21</xdr:row>
      <xdr:rowOff>154781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Qual modal você utiliza?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Qual modal você utiliza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556" y="3021807"/>
              <a:ext cx="1828800" cy="9310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200025</xdr:colOff>
      <xdr:row>1</xdr:row>
      <xdr:rowOff>28573</xdr:rowOff>
    </xdr:from>
    <xdr:to>
      <xdr:col>27</xdr:col>
      <xdr:colOff>279954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4</xdr:col>
      <xdr:colOff>250456</xdr:colOff>
      <xdr:row>0</xdr:row>
      <xdr:rowOff>123825</xdr:rowOff>
    </xdr:from>
    <xdr:to>
      <xdr:col>4</xdr:col>
      <xdr:colOff>1329818</xdr:colOff>
      <xdr:row>5</xdr:row>
      <xdr:rowOff>104775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10550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1</xdr:col>
      <xdr:colOff>316219</xdr:colOff>
      <xdr:row>5</xdr:row>
      <xdr:rowOff>23657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2</xdr:col>
      <xdr:colOff>892969</xdr:colOff>
      <xdr:row>0</xdr:row>
      <xdr:rowOff>95250</xdr:rowOff>
    </xdr:from>
    <xdr:to>
      <xdr:col>5</xdr:col>
      <xdr:colOff>1231319</xdr:colOff>
      <xdr:row>5</xdr:row>
      <xdr:rowOff>119152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5369719" y="95250"/>
          <a:ext cx="5167525" cy="976402"/>
          <a:chOff x="5421967" y="83343"/>
          <a:chExt cx="5267538" cy="976402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29" name="Gráfico 28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30" name="CaixaDeTexto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27" name="Gráfico 26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8" name="CaixaDeTexto 2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25" name="Gráfico 24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6" name="CaixaDeTexto 2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23" name="Gráfico 22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4" name="CaixaDeTexto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352425</xdr:colOff>
      <xdr:row>1</xdr:row>
      <xdr:rowOff>28573</xdr:rowOff>
    </xdr:from>
    <xdr:to>
      <xdr:col>22</xdr:col>
      <xdr:colOff>419101</xdr:colOff>
      <xdr:row>4</xdr:row>
      <xdr:rowOff>110594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30425" y="219073"/>
          <a:ext cx="2352676" cy="653521"/>
        </a:xfrm>
        <a:prstGeom prst="rect">
          <a:avLst/>
        </a:prstGeom>
      </xdr:spPr>
    </xdr:pic>
    <xdr:clientData/>
  </xdr:twoCellAnchor>
  <xdr:twoCellAnchor editAs="absolute">
    <xdr:from>
      <xdr:col>12</xdr:col>
      <xdr:colOff>523875</xdr:colOff>
      <xdr:row>0</xdr:row>
      <xdr:rowOff>123825</xdr:rowOff>
    </xdr:from>
    <xdr:to>
      <xdr:col>14</xdr:col>
      <xdr:colOff>85725</xdr:colOff>
      <xdr:row>5</xdr:row>
      <xdr:rowOff>114300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667875" y="123825"/>
          <a:ext cx="1085850" cy="933450"/>
        </a:xfrm>
        <a:prstGeom prst="rect">
          <a:avLst/>
        </a:prstGeom>
        <a:noFill/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171450</xdr:rowOff>
    </xdr:from>
    <xdr:to>
      <xdr:col>3</xdr:col>
      <xdr:colOff>191473</xdr:colOff>
      <xdr:row>5</xdr:row>
      <xdr:rowOff>33182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0" y="171450"/>
          <a:ext cx="2477473" cy="8047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Estudo de caso</a:t>
          </a:r>
          <a:b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</a:br>
          <a:r>
            <a:rPr lang="pt-BR" sz="2400">
              <a:solidFill>
                <a:srgbClr val="0042BB"/>
              </a:solidFill>
              <a:latin typeface="Arial Rounded MT Bold" panose="020F0704030504030204" pitchFamily="34" charset="0"/>
            </a:rPr>
            <a:t>Ipiranga</a:t>
          </a:r>
        </a:p>
      </xdr:txBody>
    </xdr:sp>
    <xdr:clientData/>
  </xdr:twoCellAnchor>
  <xdr:twoCellAnchor>
    <xdr:from>
      <xdr:col>7</xdr:col>
      <xdr:colOff>119063</xdr:colOff>
      <xdr:row>0</xdr:row>
      <xdr:rowOff>107156</xdr:rowOff>
    </xdr:from>
    <xdr:to>
      <xdr:col>14</xdr:col>
      <xdr:colOff>52601</xdr:colOff>
      <xdr:row>5</xdr:row>
      <xdr:rowOff>142964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5319713" y="107156"/>
          <a:ext cx="5134188" cy="969258"/>
          <a:chOff x="5421967" y="83343"/>
          <a:chExt cx="5267538" cy="976402"/>
        </a:xfrm>
      </xdr:grpSpPr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GrpSpPr/>
        </xdr:nvGrpSpPr>
        <xdr:grpSpPr>
          <a:xfrm>
            <a:off x="5421967" y="111880"/>
            <a:ext cx="997147" cy="919330"/>
            <a:chOff x="4114800" y="1545394"/>
            <a:chExt cx="1094031" cy="919989"/>
          </a:xfrm>
        </xdr:grpSpPr>
        <xdr:pic>
          <xdr:nvPicPr>
            <xdr:cNvPr id="29" name="Gráfico 28" descr="Início com preenchimento sólido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229100" y="1545394"/>
              <a:ext cx="752475" cy="752475"/>
            </a:xfrm>
            <a:prstGeom prst="rect">
              <a:avLst/>
            </a:prstGeom>
          </xdr:spPr>
        </xdr:pic>
        <xdr:sp macro="" textlink="">
          <xdr:nvSpPr>
            <xdr:cNvPr id="30" name="CaixaDeTexto 2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1E000000}"/>
                </a:ext>
              </a:extLst>
            </xdr:cNvPr>
            <xdr:cNvSpPr txBox="1"/>
          </xdr:nvSpPr>
          <xdr:spPr>
            <a:xfrm>
              <a:off x="4114800" y="2209800"/>
              <a:ext cx="1094031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Menu Inicial</a:t>
              </a:r>
            </a:p>
          </xdr:txBody>
        </xdr:sp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GrpSpPr/>
        </xdr:nvGrpSpPr>
        <xdr:grpSpPr>
          <a:xfrm>
            <a:off x="6888318" y="111898"/>
            <a:ext cx="935765" cy="919293"/>
            <a:chOff x="5419725" y="1545431"/>
            <a:chExt cx="963483" cy="919952"/>
          </a:xfrm>
        </xdr:grpSpPr>
        <xdr:pic>
          <xdr:nvPicPr>
            <xdr:cNvPr id="27" name="Gráfico 26" descr="Gráfico de barras com tendência ascendente com preenchimento sólido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5499150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8" name="CaixaDeTexto 2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1C000000}"/>
                </a:ext>
              </a:extLst>
            </xdr:cNvPr>
            <xdr:cNvSpPr txBox="1"/>
          </xdr:nvSpPr>
          <xdr:spPr>
            <a:xfrm>
              <a:off x="5419725" y="2209800"/>
              <a:ext cx="963483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Dashboard</a:t>
              </a:r>
            </a:p>
          </xdr:txBody>
        </xdr:sp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8293288" y="107449"/>
            <a:ext cx="887583" cy="928191"/>
            <a:chOff x="6753225" y="1545431"/>
            <a:chExt cx="768300" cy="955995"/>
          </a:xfrm>
        </xdr:grpSpPr>
        <xdr:pic>
          <xdr:nvPicPr>
            <xdr:cNvPr id="25" name="Gráfico 24" descr="Engrenagens com preenchimento sólido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6769125" y="15454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6" name="CaixaDeTexto 2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753225" y="2238375"/>
              <a:ext cx="680977" cy="2630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Backend</a:t>
              </a:r>
            </a:p>
          </xdr:txBody>
        </xdr:sp>
      </xdr:grpSp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GrpSpPr/>
        </xdr:nvGrpSpPr>
        <xdr:grpSpPr>
          <a:xfrm>
            <a:off x="9650077" y="83343"/>
            <a:ext cx="1039428" cy="976402"/>
            <a:chOff x="8372475" y="1507331"/>
            <a:chExt cx="1046697" cy="977102"/>
          </a:xfrm>
        </xdr:grpSpPr>
        <xdr:pic>
          <xdr:nvPicPr>
            <xdr:cNvPr id="23" name="Gráfico 22" descr="Ajuda com preenchimento sólido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8477250" y="1507331"/>
              <a:ext cx="752400" cy="752400"/>
            </a:xfrm>
            <a:prstGeom prst="rect">
              <a:avLst/>
            </a:prstGeom>
          </xdr:spPr>
        </xdr:pic>
        <xdr:sp macro="" textlink="">
          <xdr:nvSpPr>
            <xdr:cNvPr id="24" name="CaixaDeTexto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8372475" y="2228850"/>
              <a:ext cx="1046697" cy="2555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pt-BR" sz="1100" b="1">
                  <a:solidFill>
                    <a:srgbClr val="0042BB"/>
                  </a:solidFill>
                  <a:latin typeface="Arial Rounded MT Bold" panose="020F0704030504030204" pitchFamily="34" charset="0"/>
                </a:rPr>
                <a:t>Informações</a:t>
              </a:r>
            </a:p>
          </xdr:txBody>
        </xdr:sp>
      </xdr:grp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rick" refreshedDate="45068.884576504628" backgroundQuery="1" createdVersion="3" refreshedVersion="8" minRefreshableVersion="3" recordCount="0" supportSubquery="1" supportAdvancedDrill="1" xr:uid="{3BFB4DF6-A76D-42C0-A57A-D50135E4349A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8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/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/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/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63029939"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5370372" backgroundQuery="1" createdVersion="8" refreshedVersion="7" minRefreshableVersion="3" recordCount="0" supportSubquery="1" supportAdvancedDrill="1" xr:uid="{83DDE4DD-262B-4C53-8AC1-DCDE4F2C73C4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ATA_TB].[Contagem].[Contagem]" caption="Contagem" numFmtId="0" hierarchy="19" level="1">
      <sharedItems containsSemiMixedTypes="0" containsString="0" containsNumber="1" containsInteger="1" minValue="1" maxValue="1" count="1">
        <n v="1"/>
      </sharedItems>
      <extLst>
        <ext xmlns:x15="http://schemas.microsoft.com/office/spreadsheetml/2010/11/main" uri="{4F2E5C28-24EA-4eb8-9CBF-B6C8F9C3D259}">
          <x15:cachedUniqueNames>
            <x15:cachedUniqueName index="0" name="[DATA_TB].[Contagem].&amp;[1]"/>
          </x15:cachedUniqueNames>
        </ext>
      </extLst>
    </cacheField>
    <cacheField name="[Measures].[Soma de Contagem]" caption="Soma de Contagem" numFmtId="0" hierarchy="28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  <cacheField name="[DATA_TB].[Qual seu gênero?].[Qual seu gênero?]" caption="Qual seu gênero?" numFmtId="0" hierarchy="3" level="1">
      <sharedItems containsSemiMixedTypes="0" containsNonDate="0" containsString="0"/>
    </cacheField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4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2" memberValueDatatype="20" unbalanced="0">
      <fieldsUsage count="2">
        <fieldUsage x="-1"/>
        <fieldUsage x="0"/>
      </fieldsUsage>
    </cacheHierarchy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2042764821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5949072" backgroundQuery="1" createdVersion="8" refreshedVersion="7" minRefreshableVersion="3" recordCount="0" supportSubquery="1" supportAdvancedDrill="1" xr:uid="{745F18F7-3FF2-40DE-8AA9-D13FFCA95C87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ATA_TB].[To Have Suporte].[To Have Suporte]" caption="To Have Suporte" numFmtId="0" hierarchy="17" level="1">
      <sharedItems count="5">
        <s v="Descontos"/>
        <s v="Facilidade de Uso"/>
        <s v="Vantagens &amp; Benefícios"/>
        <s v="Estabilidade" u="1"/>
        <s v="Indeterminado" u="1"/>
      </sharedItems>
    </cacheField>
    <cacheField name="[Measures].[Contagem de To Have Suporte2]" caption="Contagem de To Have Suporte2" numFmtId="0" hierarchy="27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  <cacheField name="[DATA_TB].[Qual seu gênero?].[Qual seu gênero?]" caption="Qual seu gênero?" numFmtId="0" hierarchy="3" level="1">
      <sharedItems containsSemiMixedTypes="0" containsNonDate="0" containsString="0"/>
    </cacheField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4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87484361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652778" backgroundQuery="1" createdVersion="8" refreshedVersion="7" minRefreshableVersion="3" recordCount="0" supportSubquery="1" supportAdvancedDrill="1" xr:uid="{C637FE84-FA71-422D-8608-DB1E232C484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ATA_TB].[Qual modal você utiliza?].[Qual modal você utiliza?]" caption="Qual modal você utiliza?" numFmtId="0" hierarchy="8" level="1">
      <sharedItems count="2">
        <s v="Carro"/>
        <s v="Transporte por Aplicativo" u="1"/>
      </sharedItems>
    </cacheField>
    <cacheField name="[Measures].[Contagem de Qual modal você utiliza?]" caption="Contagem de Qual modal você utiliza?" numFmtId="0" hierarchy="24" level="32767"/>
    <cacheField name="[DATA_TB].[Qual seu gênero?].[Qual seu gênero?]" caption="Qual seu gênero?" numFmtId="0" hierarchy="3" level="1">
      <sharedItems containsSemiMixedTypes="0" containsNonDate="0" containsString="0"/>
    </cacheField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141292419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8032405" backgroundQuery="1" createdVersion="8" refreshedVersion="7" minRefreshableVersion="3" recordCount="0" supportSubquery="1" supportAdvancedDrill="1" xr:uid="{E191E600-31A3-46D8-94F5-28E53060BA72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1">
        <s v="Não utilizo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  <cacheField name="[DATA_TB].[Qual seu gênero?].[Qual seu gênero?]" caption="Qual seu gênero?" numFmtId="0" hierarchy="3" level="1">
      <sharedItems containsSemiMixedTypes="0" containsNonDate="0" containsString="0"/>
    </cacheField>
    <cacheField name="[DATA_TB].[Qual sua faixa de renda?].[Qual sua faixa de renda?]" caption="Qual sua faixa de renda?" numFmtId="0" hierarchy="6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4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78111713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7453704" backgroundQuery="1" createdVersion="8" refreshedVersion="7" minRefreshableVersion="3" recordCount="0" supportSubquery="1" supportAdvancedDrill="1" xr:uid="{29F16536-0BB4-4B6E-A2D6-23FF2EB66480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5">
    <cacheField name="[DATA_TB].[Com que frequência você utiliza aplicativos de descontos e vantagens em postos de gasolina?].[Com que frequência você utiliza aplicativos de descontos e vantagens em postos de gasolina?]" caption="Com que frequência você utiliza aplicativos de descontos e vantagens em postos de gasolina?" numFmtId="0" hierarchy="7" level="1">
      <sharedItems count="4">
        <s v="Mensalmente"/>
        <s v="Não utilizo"/>
        <s v="Quinzenalmente"/>
        <s v="Semanalmente"/>
      </sharedItems>
    </cacheField>
    <cacheField name="[Measures].[Contagem de Com que frequência você utiliza aplicativos de descontos e vantagens em postos de gasoli]" caption="Contagem de Com que frequência você utiliza aplicativos de descontos e vantagens em postos de gasoli" numFmtId="0" hierarchy="23" level="32767"/>
    <cacheField name="[DATA_TB].[Qual seu gênero?].[Qual seu gênero?]" caption="Qual seu gênero?" numFmtId="0" hierarchy="3" level="1">
      <sharedItems count="2">
        <s v="Feminino"/>
        <s v="Masculino" u="1"/>
      </sharedItems>
    </cacheField>
    <cacheField name="[DATA_TB].[Qual sua faixa de renda?].[Qual sua faixa de renda?]" caption="Qual sua faixa de renda?" numFmtId="0" hierarchy="6" level="1">
      <sharedItems count="1">
        <s v="Até R$ 2.000,00"/>
      </sharedItems>
    </cacheField>
    <cacheField name="[DATA_TB].[Qual modal você utiliza?].[Qual modal você utiliza?]" caption="Qual modal você utiliza?" numFmtId="0" hierarchy="8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4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4999029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lyssia Nascimento" refreshedDate="45071.980198495374" backgroundQuery="1" createdVersion="8" refreshedVersion="7" minRefreshableVersion="3" recordCount="0" supportSubquery="1" supportAdvancedDrill="1" xr:uid="{79CE3D7B-7CA9-4A52-BBFB-51829D302C6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4">
    <cacheField name="[DATA_TB].[Qual sua faixa de renda?].[Qual sua faixa de renda?]" caption="Qual sua faixa de renda?" numFmtId="0" hierarchy="6" level="1">
      <sharedItems count="5">
        <s v="Até R$ 2.000,00"/>
        <s v="Acima de R$ 8.001,00" u="1"/>
        <s v="R$ 2.001,00 - R$ 4.000,00" u="1"/>
        <s v="R$ 4.001,00 - R$ 6.000,00" u="1"/>
        <s v="R$ 6.001,00 - R$ 8.000,00" u="1"/>
      </sharedItems>
    </cacheField>
    <cacheField name="[Measures].[Contagem de Qual sua faixa de renda?]" caption="Contagem de Qual sua faixa de renda?" numFmtId="0" hierarchy="22" level="32767"/>
    <cacheField name="[DATA_TB].[Qual modal você utiliza?].[Qual modal você utiliza?]" caption="Qual modal você utiliza?" numFmtId="0" hierarchy="8" level="1">
      <sharedItems containsSemiMixedTypes="0" containsNonDate="0" containsString="0"/>
    </cacheField>
    <cacheField name="[DATA_TB].[Qual seu gênero?].[Qual seu gênero?]" caption="Qual seu gênero?" numFmtId="0" hierarchy="3" level="1">
      <sharedItems containsSemiMixedTypes="0" containsNonDate="0" containsString="0"/>
    </cacheField>
  </cacheFields>
  <cacheHierarchies count="29">
    <cacheHierarchy uniqueName="[DATA_TB].[Carimbo de data/hora]" caption="Carimbo de data/hora" attribute="1" time="1" defaultMemberUniqueName="[DATA_TB].[Carimbo de data/hora].[All]" allUniqueName="[DATA_TB].[Carimbo de data/hora].[All]" dimensionUniqueName="[DATA_TB]" displayFolder="" count="0" memberValueDatatype="7" unbalanced="0"/>
    <cacheHierarchy uniqueName="[DATA_TB].[Endereço de e-mail]" caption="Endereço de e-mail" attribute="1" defaultMemberUniqueName="[DATA_TB].[Endereço de e-mail].[All]" allUniqueName="[DATA_TB].[Endereço de e-mail].[All]" dimensionUniqueName="[DATA_TB]" displayFolder="" count="0" memberValueDatatype="130" unbalanced="0"/>
    <cacheHierarchy uniqueName="[DATA_TB].[Qual sua idade]" caption="Qual sua idade" attribute="1" defaultMemberUniqueName="[DATA_TB].[Qual sua idade].[All]" allUniqueName="[DATA_TB].[Qual sua idade].[All]" dimensionUniqueName="[DATA_TB]" displayFolder="" count="2" memberValueDatatype="130" unbalanced="0"/>
    <cacheHierarchy uniqueName="[DATA_TB].[Qual seu gênero?]" caption="Qual seu gênero?" attribute="1" defaultMemberUniqueName="[DATA_TB].[Qual seu gênero?].[All]" allUniqueName="[DATA_TB].[Qual seu gênero?].[All]" dimensionUniqueName="[DATA_TB]" displayFolder="" count="2" memberValueDatatype="130" unbalanced="0">
      <fieldsUsage count="2">
        <fieldUsage x="-1"/>
        <fieldUsage x="3"/>
      </fieldsUsage>
    </cacheHierarchy>
    <cacheHierarchy uniqueName="[DATA_TB].[Estado (Placeholder)]" caption="Estado (Placeholder)" attribute="1" defaultMemberUniqueName="[DATA_TB].[Estado (Placeholder)].[All]" allUniqueName="[DATA_TB].[Estado (Placeholder)].[All]" dimensionUniqueName="[DATA_TB]" displayFolder="" count="0" memberValueDatatype="130" unbalanced="0"/>
    <cacheHierarchy uniqueName="[DATA_TB].[Qual a sua Região?]" caption="Qual a sua Região?" attribute="1" defaultMemberUniqueName="[DATA_TB].[Qual a sua Região?].[All]" allUniqueName="[DATA_TB].[Qual a sua Região?].[All]" dimensionUniqueName="[DATA_TB]" displayFolder="" count="2" memberValueDatatype="130" unbalanced="0"/>
    <cacheHierarchy uniqueName="[DATA_TB].[Qual sua faixa de renda?]" caption="Qual sua faixa de renda?" attribute="1" defaultMemberUniqueName="[DATA_TB].[Qual sua faixa de renda?].[All]" allUniqueName="[DATA_TB].[Qual sua faixa de renda?].[All]" dimensionUniqueName="[DATA_TB]" displayFolder="" count="2" memberValueDatatype="130" unbalanced="0">
      <fieldsUsage count="2">
        <fieldUsage x="-1"/>
        <fieldUsage x="0"/>
      </fieldsUsage>
    </cacheHierarchy>
    <cacheHierarchy uniqueName="[DATA_TB].[Com que frequência você utiliza aplicativos de descontos e vantagens em postos de gasolina?]" caption="Com que frequência você utiliza aplicativos de descontos e vantagens em postos de gasolina?" attribute="1" defaultMemberUniqueName="[DATA_TB].[Com que frequência você utiliza aplicativos de descontos e vantagens em postos de gasolina?].[All]" allUniqueName="[DATA_TB].[Com que frequência você utiliza aplicativos de descontos e vantagens em postos de gasolina?].[All]" dimensionUniqueName="[DATA_TB]" displayFolder="" count="0" memberValueDatatype="130" unbalanced="0"/>
    <cacheHierarchy uniqueName="[DATA_TB].[Qual modal você utiliza?]" caption="Qual modal você utiliza?" attribute="1" defaultMemberUniqueName="[DATA_TB].[Qual modal você utiliza?].[All]" allUniqueName="[DATA_TB].[Qual modal você utiliza?].[All]" dimensionUniqueName="[DATA_TB]" displayFolder="" count="2" memberValueDatatype="130" unbalanced="0">
      <fieldsUsage count="2">
        <fieldUsage x="-1"/>
        <fieldUsage x="2"/>
      </fieldsUsage>
    </cacheHierarchy>
    <cacheHierarchy uniqueName="[DATA_TB].[Quanto você estima economizar mensalmente usando aplicativos de descontos e vantagens em postos de g]" caption="Quanto você estima economizar mensalmente usando aplicativos de descontos e vantagens em postos de g" attribute="1" defaultMemberUniqueName="[DATA_TB].[Quanto você estima economizar mensalmente usando aplicativos de descontos e vantagens em postos de g].[All]" allUniqueName="[DATA_TB].[Quanto você estima economizar mensalmente usando aplicativos de descontos e vantagens em postos de g].[All]" dimensionUniqueName="[DATA_TB]" displayFolder="" count="0" memberValueDatatype="130" unbalanced="0"/>
    <cacheHierarchy uniqueName="[DATA_TB].[Quais são os principais motivos que levam você a utilizar aplicativos de descontos e vantagens em po]" caption="Quais são os principais motivos que levam você a utilizar aplicativos de descontos e vantagens em po" attribute="1" defaultMemberUniqueName="[DATA_TB].[Quais são os principais motivos que levam você a utilizar aplicativos de descontos e vantagens em po].[All]" allUniqueName="[DATA_TB].[Quais são os principais motivos que levam você a utilizar aplicativos de descontos e vantagens em po].[All]" dimensionUniqueName="[DATA_TB]" displayFolder="" count="0" memberValueDatatype="130" unbalanced="0"/>
    <cacheHierarchy uniqueName="[DATA_TB].[Como você ficou sabendo desses aplicativos de descontos e vantagens? (ex.: amigos, redes sociais, pu]" caption="Como você ficou sabendo desses aplicativos de descontos e vantagens? (ex.: amigos, redes sociais, pu" attribute="1" defaultMemberUniqueName="[DATA_TB].[Como você ficou sabendo desses aplicativos de descontos e vantagens? (ex.: amigos, redes sociais, pu].[All]" allUniqueName="[DATA_TB].[Como você ficou sabendo desses aplicativos de descontos e vantagens? (ex.: amigos, redes sociais, pu].[All]" dimensionUniqueName="[DATA_TB]" displayFolder="" count="0" memberValueDatatype="130" unbalanced="0"/>
    <cacheHierarchy uniqueName="[DATA_TB].[Quais aspectos você considera mais importantes em um aplicativo de descontos e vantagens para postos]" caption="Quais aspectos você considera mais importantes em um aplicativo de descontos e vantagens para postos" attribute="1" defaultMemberUniqueName="[DATA_TB].[Quais aspectos você considera mais importantes em um aplicativo de descontos e vantagens para postos].[All]" allUniqueName="[DATA_TB].[Quais aspectos você considera mais importantes em um aplicativo de descontos e vantagens para postos].[All]" dimensionUniqueName="[DATA_TB]" displayFolder="" count="0" memberValueDatatype="130" unbalanced="0"/>
    <cacheHierarchy uniqueName="[DATA_TB].[Com base em sua experiência, quais melhorias você gostaria de ver nos aplicativos de descontos e van]" caption="Com base em sua experiência, quais melhorias você gostaria de ver nos aplicativos de descontos e van" attribute="1" defaultMemberUniqueName="[DATA_TB].[Com base em sua experiência, quais melhorias você gostaria de ver nos aplicativos de descontos e van].[All]" allUniqueName="[DATA_TB].[Com base em sua experiência, quais melhorias você gostaria de ver nos aplicativos de descontos e van].[All]" dimensionUniqueName="[DATA_TB]" displayFolder="" count="0" memberValueDatatype="130" unbalanced="0"/>
    <cacheHierarchy uniqueName="[DATA_TB].[Você já teve algum problema ou dificuldade ao utilizar aplicativos de descontos e vantagens em posto]" caption="Você já teve algum problema ou dificuldade ao utilizar aplicativos de descontos e vantagens em posto" attribute="1" defaultMemberUniqueName="[DATA_TB].[Você já teve algum problema ou dificuldade ao utilizar aplicativos de descontos e vantagens em posto].[All]" allUniqueName="[DATA_TB].[Você já teve algum problema ou dificuldade ao utilizar aplicativos de descontos e vantagens em posto].[All]" dimensionUniqueName="[DATA_TB]" displayFolder="" count="0" memberValueDatatype="130" unbalanced="0"/>
    <cacheHierarchy uniqueName="[DATA_TB].[O que você acredita que um aplicativo de descontos e vantagens deveria ter para que você considerass]" caption="O que você acredita que um aplicativo de descontos e vantagens deveria ter para que você considerass" attribute="1" defaultMemberUniqueName="[DATA_TB].[O que você acredita que um aplicativo de descontos e vantagens deveria ter para que você considerass].[All]" allUniqueName="[DATA_TB].[O que você acredita que um aplicativo de descontos e vantagens deveria ter para que você considerass].[All]" dimensionUniqueName="[DATA_TB]" displayFolder="" count="0" memberValueDatatype="130" unbalanced="0"/>
    <cacheHierarchy uniqueName="[DATA_TB].[Renda Suporte]" caption="Renda Suporte" attribute="1" defaultMemberUniqueName="[DATA_TB].[Renda Suporte].[All]" allUniqueName="[DATA_TB].[Renda Suporte].[All]" dimensionUniqueName="[DATA_TB]" displayFolder="" count="0" memberValueDatatype="20" unbalanced="0"/>
    <cacheHierarchy uniqueName="[DATA_TB].[To Have Suporte]" caption="To Have Suporte" attribute="1" defaultMemberUniqueName="[DATA_TB].[To Have Suporte].[All]" allUniqueName="[DATA_TB].[To Have Suporte].[All]" dimensionUniqueName="[DATA_TB]" displayFolder="" count="0" memberValueDatatype="130" unbalanced="0"/>
    <cacheHierarchy uniqueName="[DATA_TB].[To Have Suporte2]" caption="To Have Suporte2" attribute="1" defaultMemberUniqueName="[DATA_TB].[To Have Suporte2].[All]" allUniqueName="[DATA_TB].[To Have Suporte2].[All]" dimensionUniqueName="[DATA_TB]" displayFolder="" count="0" memberValueDatatype="5" unbalanced="0"/>
    <cacheHierarchy uniqueName="[DATA_TB].[Contagem]" caption="Contagem" attribute="1" defaultMemberUniqueName="[DATA_TB].[Contagem].[All]" allUniqueName="[DATA_TB].[Contagem].[All]" dimensionUniqueName="[DATA_TB]" displayFolder="" count="0" memberValueDatatype="20" unbalanced="0"/>
    <cacheHierarchy uniqueName="[Measures].[__XL_Count DATA_TB]" caption="__XL_Count DATA_TB" measure="1" displayFolder="" measureGroup="DATA_TB" count="0" hidden="1"/>
    <cacheHierarchy uniqueName="[Measures].[__No measures defined]" caption="__No measures defined" measure="1" displayFolder="" count="0" hidden="1"/>
    <cacheHierarchy uniqueName="[Measures].[Contagem de Qual sua faixa de renda?]" caption="Contagem de Qual sua faixa de renda?" measure="1" displayFolder="" measureGroup="DATA_TB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Com que frequência você utiliza aplicativos de descontos e vantagens em postos de gasoli]" caption="Contagem de Com que frequência você utiliza aplicativos de descontos e vantagens em postos de gasoli" measure="1" displayFolder="" measureGroup="DATA_TB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Contagem de Qual modal você utiliza?]" caption="Contagem de Qual modal você utiliza?" measure="1" displayFolder="" measureGroup="DATA_TB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Contagem de To Have Suporte]" caption="Contagem de To Have Suporte" measure="1" displayFolder="" measureGroup="DATA_TB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oma de To Have Suporte2]" caption="Soma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Contagem de To Have Suporte2]" caption="Contagem de To Have Suporte2" measure="1" displayFolder="" measureGroup="DATA_TB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oma de Contagem]" caption="Soma de Contagem" measure="1" displayFolder="" measureGroup="DATA_TB" count="0" hidden="1">
      <extLst>
        <ext xmlns:x15="http://schemas.microsoft.com/office/spreadsheetml/2010/11/main" uri="{B97F6D7D-B522-45F9-BDA1-12C45D357490}">
          <x15:cacheHierarchy aggregatedColumn="19"/>
        </ext>
      </extLst>
    </cacheHierarchy>
  </cacheHierarchies>
  <kpis count="0"/>
  <dimensions count="2">
    <dimension name="DATA_TB" uniqueName="[DATA_TB]" caption="DATA_TB"/>
    <dimension measure="1" name="Measures" uniqueName="[Measures]" caption="Measures"/>
  </dimensions>
  <measureGroups count="1">
    <measureGroup name="DATA_TB" caption="DATA_TB"/>
  </measureGroups>
  <maps count="1">
    <map measureGroup="0" dimension="0"/>
  </maps>
  <extLst>
    <ext xmlns:x14="http://schemas.microsoft.com/office/spreadsheetml/2009/9/main" uri="{725AE2AE-9491-48be-B2B4-4EB974FC3084}">
      <x14:pivotCacheDefinition pivotCacheId="180988844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9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9">
  <location ref="A1:B3" firstHeaderRow="1" firstDataRow="1" firstDataCol="1"/>
  <pivotFields count="5">
    <pivotField axis="axisRow" allDrilled="1" subtotalTop="0" showAll="0" dataSourceSort="1" defaultSubtotal="0" defaultAttributeDrillState="1">
      <items count="1">
        <item x="0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Soma de Contagem" fld="1" baseField="0" baseItem="0"/>
  </dataFields>
  <chartFormats count="2">
    <chartFormat chart="8" format="4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>
      <members count="1" level="1">
        <member name="[DATA_TB].[Qual sua faixa de renda?].&amp;[Até R$ 2.000,00]"/>
      </members>
    </pivotHierarchy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2042764821">
        <x15:pivotRow count="1">
          <x15:c>
            <x15:v>4</x15:v>
          </x15:c>
        </x15:pivotRow>
        <x15:pivotRow count="1"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8" cacheId="2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9">
  <location ref="A1:B5" firstHeaderRow="1" firstDataRow="1" firstDataCol="1"/>
  <pivotFields count="5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To Have Suporte2" fld="1" subtotal="count" baseField="0" baseItem="3"/>
  </dataFields>
  <chartFormats count="6">
    <chartFormat chart="8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8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>
      <members count="1" level="1">
        <member name="[DATA_TB].[Qual sua faixa de renda?].&amp;[Até R$ 2.000,00]"/>
      </members>
    </pivotHierarchy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Contagem de To Have Suporte2"/>
    <pivotHierarchy dragToData="1"/>
  </pivotHierarchie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4" columnCount="1" cacheId="874843616"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2</x15:v>
          </x15:c>
        </x15:pivotRow>
        <x15:pivotRow count="1"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7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7">
  <location ref="A1:C3" firstHeaderRow="1" firstDataRow="2" firstDataCol="1"/>
  <pivotFields count="4">
    <pivotField axis="axisCol" allDrilled="1" subtotalTop="0" showAll="0" dataSourceSort="1" defaultSubtotal="0" defaultAttributeDrillState="1">
      <items count="2">
        <item s="1" x="0"/>
        <item x="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Items count="1">
    <i/>
  </rowItems>
  <colFields count="1">
    <field x="0"/>
  </colFields>
  <colItems count="2">
    <i>
      <x/>
    </i>
    <i t="grand">
      <x/>
    </i>
  </colItems>
  <dataFields count="1">
    <dataField name="Contagem de Qual modal você utiliza?" fld="1" subtotal="count" baseField="0" baseItem="0"/>
  </dataFields>
  <chartFormats count="3">
    <chartFormat chart="6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>
      <members count="1" level="1">
        <member name="[DATA_TB].[Qual sua faixa de renda?].&amp;[Até R$ 2.000,00]"/>
      </members>
    </pivotHierarchy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colHierarchiesUsage count="1">
    <colHierarchyUsage hierarchyUsage="8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1" columnCount="2" cacheId="1141292419">
        <x15:pivotRow count="2">
          <x15:c>
            <x15:v>4</x15:v>
          </x15:c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6" cacheId="5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7">
  <location ref="A1:C4" firstHeaderRow="1" firstDataRow="2" firstDataCol="1"/>
  <pivotFields count="5">
    <pivotField allDrilled="1" subtotalTop="0" showAll="0" sortType="descending" defaultSubtotal="0" defaultAttributeDrillState="1">
      <items count="4">
        <item x="0"/>
        <item x="1"/>
        <item x="2"/>
        <item x="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Col" allDrilled="1" subtotalTop="0" showAll="0" sortType="ascending" defaultSubtotal="0" defaultAttributeDrillState="1">
      <items count="2">
        <item s="1" x="0"/>
        <item x="1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3" count="1" selected="0">
              <x v="0"/>
            </reference>
          </references>
        </pivotArea>
      </autoSortScope>
    </pivotField>
    <pivotField axis="axisRow" allDrilled="1" subtotalTop="0" showAll="0" defaultSubtotal="0" defaultAttributeDrillState="1">
      <items count="1">
        <item s="1" x="0"/>
      </items>
    </pivotField>
    <pivotField allDrilled="1" subtotalTop="0" showAll="0" dataSourceSort="1" defaultSubtotal="0" defaultAttributeDrillState="1"/>
  </pivotFields>
  <rowFields count="1">
    <field x="3"/>
  </rowFields>
  <rowItems count="2">
    <i>
      <x/>
    </i>
    <i t="grand">
      <x/>
    </i>
  </rowItems>
  <colFields count="1">
    <field x="2"/>
  </colFields>
  <colItems count="2">
    <i>
      <x/>
    </i>
    <i t="grand">
      <x/>
    </i>
  </colItems>
  <dataFields count="1">
    <dataField name="Contagem de Com que frequência você utiliza aplicativos de descontos e vantagens em postos de gasolina?" fld="1" subtotal="count" baseField="0" baseItem="0"/>
  </dataFields>
  <chartFormats count="6">
    <chartFormat chart="4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colHierarchiesUsage count="1">
    <colHierarchyUsage hierarchyUsage="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2" cacheId="49990297">
        <x15:pivotRow count="2">
          <x15:c>
            <x15:v>4</x15:v>
          </x15:c>
          <x15:c>
            <x15:v>4</x15:v>
          </x15:c>
        </x15:pivotRow>
        <x15:pivotRow count="2">
          <x15:c>
            <x15:v>4</x15:v>
          </x15:c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5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5">
  <location ref="A1:B3" firstHeaderRow="1" firstDataRow="1" firstDataCol="1"/>
  <pivotFields count="5">
    <pivotField axis="axisRow" allDrilled="1" subtotalTop="0" showAll="0" sortType="descending" defaultSubtotal="0" defaultAttributeDrillState="1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Contagem de Com que frequência você utiliza aplicativos de descontos e vantagens em postos de gasolina?" fld="1" subtotal="count" showDataAs="percentOfTotal" baseField="0" baseItem="3" numFmtId="10"/>
  </dataFields>
  <chartFormats count="1">
    <chartFormat chart="3" format="3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>
      <members count="1" level="1">
        <member name="[DATA_TB].[Qual sua faixa de renda?].&amp;[Até R$ 2.000,00]"/>
      </members>
    </pivotHierarchy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1781117138">
        <x15:pivotRow count="1">
          <x15:c>
            <x15:v>1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EF4177-A3EA-4EA3-8D43-2BB1BDA02FDA}" name="PivotChartTable4" cacheId="6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 chartFormat="2">
  <location ref="A1:B3" firstHeaderRow="1" firstDataRow="1" firstDataCol="1"/>
  <pivotFields count="4">
    <pivotField axis="axisRow" allDrilled="1" subtotalTop="0" showAll="0" sortType="descending" defaultSubtotal="0" defaultAttributeDrillState="1">
      <items count="5">
        <item s="1"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2">
    <i>
      <x/>
    </i>
    <i t="grand">
      <x/>
    </i>
  </rowItems>
  <colItems count="1">
    <i/>
  </colItems>
  <dataFields count="1">
    <dataField name="Contagem de Qual sua faixa de renda?" fld="1" subtotal="count" baseField="0" baseItem="0"/>
  </dataFields>
  <chartFormats count="6">
    <chartFormat chart="0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Hierarchies count="29">
    <pivotHierarchy dragToData="1"/>
    <pivotHierarchy dragToData="1"/>
    <pivotHierarchy multipleItemSelectionAllowed="1" dragToData="1"/>
    <pivotHierarchy multipleItemSelectionAllowed="1" dragToData="1">
      <members count="1" level="1">
        <member name="[DATA_TB].[Qual seu gênero?].&amp;[Feminino]"/>
      </members>
    </pivotHierarchy>
    <pivotHierarchy dragToData="1"/>
    <pivotHierarchy multipleItemSelectionAllowed="1" dragToData="1"/>
    <pivotHierarchy multipleItemSelectionAllowed="1" dragToData="1"/>
    <pivotHierarchy dragToData="1"/>
    <pivotHierarchy multipleItemSelectionAllowed="1" dragToData="1">
      <members count="1" level="1">
        <member name="[DATA_TB].[Qual modal você utiliza?].&amp;[Carro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1809888447">
        <x15:pivotRow count="1">
          <x15:c>
            <x15:v>4</x15:v>
          </x15:c>
        </x15:pivotRow>
        <x15:pivotRow count="1">
          <x15:c>
            <x15:v>4</x15:v>
          </x15:c>
        </x15:pivotRow>
      </x15:pivotTableData>
    </ext>
    <ext xmlns:x15="http://schemas.microsoft.com/office/spreadsheetml/2010/11/main" uri="{E67621CE-5B39-4880-91FE-76760E9C1902}">
      <x15:pivotTableUISettings sourceDataName="WorksheetConnection_dashboard.xlsx!DATA_TB">
        <x15:activeTabTopLevelEntity name="[DATA_TB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a_sua_Região?" xr10:uid="{2018B270-C4E4-4B62-9A70-1BCEE2EFA11F}" sourceName="[DATA_TB].[Qual a sua Região?]">
  <data>
    <olap pivotCacheId="63029939">
      <levels count="2">
        <level uniqueName="[DATA_TB].[Qual a sua Região?].[(All)]" sourceCaption="(All)" count="0"/>
        <level uniqueName="[DATA_TB].[Qual a sua Região?].[Qual a sua Região?]" sourceCaption="Qual a sua Região?" count="3">
          <ranges>
            <range startItem="0">
              <i n="[DATA_TB].[Qual a sua Região?].&amp;[Sudeste]" c="Sudeste"/>
              <i n="[DATA_TB].[Qual a sua Região?].&amp;[Centro-Oeste]" c="Centro-Oeste" nd="1"/>
              <i n="[DATA_TB].[Qual a sua Região?].&amp;[Sul]" c="Sul" nd="1"/>
            </range>
          </ranges>
        </level>
      </levels>
      <selections count="1">
        <selection n="[DATA_TB].[Qual a sua Região?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eu_gênero?" xr10:uid="{E0B80DAC-494F-4E75-94E5-067797F9EA05}" sourceName="[DATA_TB].[Qual seu gênero?]">
  <data>
    <olap pivotCacheId="63029939">
      <levels count="2">
        <level uniqueName="[DATA_TB].[Qual seu gênero?].[(All)]" sourceCaption="(All)" count="0"/>
        <level uniqueName="[DATA_TB].[Qual seu gênero?].[Qual seu gênero?]" sourceCaption="Qual seu gênero?" count="2">
          <ranges>
            <range startItem="0">
              <i n="[DATA_TB].[Qual seu gênero?].&amp;[Feminino]" c="Feminino"/>
              <i n="[DATA_TB].[Qual seu gênero?].&amp;[Masculino]" c="Masculino"/>
            </range>
          </ranges>
        </level>
      </levels>
      <selections count="1">
        <selection n="[DATA_TB].[Qual seu gênero?].&amp;[Feminino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faixa_de_renda?" xr10:uid="{CAE97E44-FBC1-4C7C-A730-75C50CC1D4F3}" sourceName="[DATA_TB].[Qual sua faixa de renda?]">
  <data>
    <olap pivotCacheId="63029939">
      <levels count="2">
        <level uniqueName="[DATA_TB].[Qual sua faixa de renda?].[(All)]" sourceCaption="(All)" count="0"/>
        <level uniqueName="[DATA_TB].[Qual sua faixa de renda?].[Qual sua faixa de renda?]" sourceCaption="Qual sua faixa de renda?" count="5">
          <ranges>
            <range startItem="0">
              <i n="[DATA_TB].[Qual sua faixa de renda?].&amp;[Acima de R$ 8.001,00]" c="Acima de R$ 8.001,00"/>
              <i n="[DATA_TB].[Qual sua faixa de renda?].&amp;[Até R$ 2.000,00]" c="Até R$ 2.000,00"/>
              <i n="[DATA_TB].[Qual sua faixa de renda?].&amp;[R$ 2.001,00 - R$ 4.000,00]" c="R$ 2.001,00 - R$ 4.000,00"/>
              <i n="[DATA_TB].[Qual sua faixa de renda?].&amp;[R$ 4.001,00 - R$ 6.000,00]" c="R$ 4.001,00 - R$ 6.000,00"/>
              <i n="[DATA_TB].[Qual sua faixa de renda?].&amp;[R$ 6.001,00 - R$ 8.000,00]" c="R$ 6.001,00 - R$ 8.000,00"/>
            </range>
          </ranges>
        </level>
      </levels>
      <selections count="1">
        <selection n="[DATA_TB].[Qual sua faixa de renda?].&amp;[Até R$ 2.000,00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sua_idade" xr10:uid="{F07285B6-D5C9-4CB1-8604-CCA64355407C}" sourceName="[DATA_TB].[Qual sua idade]">
  <data>
    <olap pivotCacheId="63029939">
      <levels count="2">
        <level uniqueName="[DATA_TB].[Qual sua idade].[(All)]" sourceCaption="(All)" count="0"/>
        <level uniqueName="[DATA_TB].[Qual sua idade].[Qual sua idade]" sourceCaption="Qual sua idade" count="4">
          <ranges>
            <range startItem="0">
              <i n="[DATA_TB].[Qual sua idade].&amp;[Entre 18 e 21 anos]" c="Entre 18 e 21 anos"/>
              <i n="[DATA_TB].[Qual sua idade].&amp;[Entre 22 e 30 anos]" c="Entre 22 e 30 anos"/>
              <i n="[DATA_TB].[Qual sua idade].&amp;[Entre 31 e 59 anos]" c="Entre 31 e 59 anos"/>
              <i n="[DATA_TB].[Qual sua idade].&amp;[Maior que 60 anos]" c="Maior que 60 anos" nd="1"/>
            </range>
          </ranges>
        </level>
      </levels>
      <selections count="1">
        <selection n="[DATA_TB].[Qual sua idade].[All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Qual_modal_você_utiliza?" xr10:uid="{169E617D-5855-4566-873A-A39C0169DC1A}" sourceName="[DATA_TB].[Qual modal você utiliza?]">
  <data>
    <olap pivotCacheId="63029939">
      <levels count="2">
        <level uniqueName="[DATA_TB].[Qual modal você utiliza?].[(All)]" sourceCaption="(All)" count="0"/>
        <level uniqueName="[DATA_TB].[Qual modal você utiliza?].[Qual modal você utiliza?]" sourceCaption="Qual modal você utiliza?" count="2">
          <ranges>
            <range startItem="0">
              <i n="[DATA_TB].[Qual modal você utiliza?].&amp;[Carro]" c="Carro"/>
              <i n="[DATA_TB].[Qual modal você utiliza?].&amp;[Transporte por Aplicativo]" c="Transporte por Aplicativo" nd="1"/>
            </range>
          </ranges>
        </level>
      </levels>
      <selections count="1">
        <selection n="[DATA_TB].[Qual modal você utiliza?].&amp;[Carro]"/>
      </selections>
    </olap>
  </data>
  <extLst>
    <x:ext xmlns:x15="http://schemas.microsoft.com/office/spreadsheetml/2010/11/main" uri="{03082B11-2C62-411c-B77F-237D8FCFBE4C}">
      <x15:slicerCachePivotTables>
        <pivotTable tabId="4294967295" name="PivotChartTable4"/>
        <pivotTable tabId="4294967295" name="PivotChartTable5"/>
        <pivotTable tabId="4294967295" name="PivotChartTable6"/>
        <pivotTable tabId="4294967295" name="PivotChartTable7"/>
        <pivotTable tabId="4294967295" name="PivotChartTable8"/>
        <pivotTable tabId="4294967295" name="PivotChartTable9"/>
      </x15:slicerCachePivotTables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Qual a sua Região?" xr10:uid="{CD70F249-5C64-4E02-AFBE-8D9617F5B45B}" cache="SegmentaçãodeDados_Qual_a_sua_Região?" caption="Região" columnCount="3" level="1" style="SlicerStyleDark1 2" rowHeight="241300"/>
  <slicer name="Qual seu gênero?" xr10:uid="{3D45BB5F-196C-41F9-B501-798A60EC6CF4}" cache="SegmentaçãodeDados_Qual_seu_gênero?" caption="Gênero" level="1" style="SlicerStyleDark1 2" rowHeight="241300"/>
  <slicer name="Qual sua faixa de renda?" xr10:uid="{3E15B60E-4C51-450F-8E23-C01A9D955A1D}" cache="SegmentaçãodeDados_Qual_sua_faixa_de_renda?" caption="Renda" level="1" style="SlicerStyleDark1 2" rowHeight="241300"/>
  <slicer name="Qual sua idade" xr10:uid="{E1F8E278-7C1C-4CF4-B4BA-AF1FBFFCBADA}" cache="SegmentaçãodeDados_Qual_sua_idade" caption="Qual sua idade" columnCount="2" level="1" style="SlicerStyleDark1 2" rowHeight="241300"/>
  <slicer name="Qual modal você utiliza?" xr10:uid="{DEDE4002-96D9-4361-B3D1-BB4EEC6C9F4B}" cache="SegmentaçãodeDados_Qual_modal_você_utiliza?" caption="Modal" level="1" style="SlicerStyleDark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951F44-F89A-4CC8-BE6A-6A821345897F}" name="DATA_TB" displayName="DATA_TB" ref="A10:T54" totalsRowShown="0" headerRowDxfId="21" dataDxfId="20">
  <autoFilter ref="A10:T54" xr:uid="{30951F44-F89A-4CC8-BE6A-6A821345897F}"/>
  <tableColumns count="20">
    <tableColumn id="1" xr3:uid="{EF78C9E2-764C-48EB-BE81-3D3A0952D1C7}" name="Carimbo de data/hora" dataDxfId="19"/>
    <tableColumn id="2" xr3:uid="{9477B6D8-FEDA-4768-BE94-E747E6D66C62}" name="Endereço de e-mail" dataDxfId="18"/>
    <tableColumn id="3" xr3:uid="{2997DFB4-5FFE-44A7-B473-259E6A501870}" name="Qual sua idade" dataDxfId="17"/>
    <tableColumn id="4" xr3:uid="{38F7F3A3-C275-4AFD-A438-F7AE44E72CB6}" name="Qual seu gênero?" dataDxfId="16"/>
    <tableColumn id="16" xr3:uid="{D2DE3153-DA6E-4A26-892A-B79C3CBA9314}" name="Estado (Placeholder)" dataDxfId="15"/>
    <tableColumn id="5" xr3:uid="{C0485CE1-1BA3-4A83-9C67-D7C33F4128FE}" name="Qual a sua Região?" dataDxfId="14"/>
    <tableColumn id="6" xr3:uid="{82ECD370-56B4-4A85-B366-4B085C945C1C}" name="Qual sua faixa de renda?" dataDxfId="13"/>
    <tableColumn id="7" xr3:uid="{251AAD24-6603-4342-B917-4E1FC9A78D47}" name="Com que frequência você utiliza aplicativos de descontos e vantagens em postos de gasolina?" dataDxfId="12"/>
    <tableColumn id="8" xr3:uid="{5F8D9F93-63DB-4466-8CE0-628274D29471}" name="Qual modal você utiliza?" dataDxfId="11"/>
    <tableColumn id="9" xr3:uid="{08A871B1-A8F1-4A09-A47A-A8F715E4DCF7}" name="Quanto você estima economizar mensalmente usando aplicativos de descontos e vantagens em postos de gasolina?" dataDxfId="10"/>
    <tableColumn id="10" xr3:uid="{E45466F8-9B87-464B-9DAD-EC372B5E0694}" name="Quais são os principais motivos que levam você a utilizar aplicativos de descontos e vantagens em postos de gasolina?" dataDxfId="9"/>
    <tableColumn id="11" xr3:uid="{1AEDD77A-6BB7-4F9E-831A-6385210A3478}" name="Como você ficou sabendo desses aplicativos de descontos e vantagens? (ex.: amigos, redes sociais, publicidade, funcionários do posto, etc.)" dataDxfId="8"/>
    <tableColumn id="12" xr3:uid="{AE5A829C-72CE-48F9-935C-94378D77B78A}" name="Quais aspectos você considera mais importantes em um aplicativo de descontos e vantagens para postos de gasolina? (ex: facilidade de uso, variedade de vantagens, confiabilidade, etc.)" dataDxfId="7"/>
    <tableColumn id="13" xr3:uid="{5FBA84B2-2D34-4AC5-AFA1-514F5783D837}" name="Com base em sua experiência, quais melhorias você gostaria de ver nos aplicativos de descontos e vantagens para postos de gasolina?" dataDxfId="6"/>
    <tableColumn id="14" xr3:uid="{CB2E17E9-0F85-4E6F-A11B-67061F6C131C}" name="Você já teve algum problema ou dificuldade ao utilizar aplicativos de descontos e vantagens em postos de gasolina? Se sim, descreva o ocorrido e como foi resolvido (se foi resolvido)." dataDxfId="5"/>
    <tableColumn id="15" xr3:uid="{082BDA63-93AF-4947-8DEA-5E6ADB0F9C32}" name="O que você acredita que um aplicativo de descontos e vantagens deveria ter para que você considerasse utilizá-lo?" dataDxfId="4"/>
    <tableColumn id="17" xr3:uid="{8189C039-EDE2-4414-B20F-4F65E02B6462}" name="Renda Suporte" dataDxfId="3">
      <calculatedColumnFormula array="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calculatedColumnFormula>
    </tableColumn>
    <tableColumn id="18" xr3:uid="{B1FB693D-7503-4A1B-B3B2-6FE7C5F9C36B}" name="To Have Suporte" dataDxfId="2"/>
    <tableColumn id="19" xr3:uid="{45B53EA5-40B1-4A20-95A3-F58B151D8DBD}" name="To Have Suporte2" dataDxfId="1">
      <calculatedColumnFormula>1/COUNTIFS(DATA_TB[To Have Suporte],DATA_TB[[#This Row],[To Have Suporte]])</calculatedColumnFormula>
    </tableColumn>
    <tableColumn id="20" xr3:uid="{67D48970-2BCA-4B42-BC85-CFF8A4AE1B11}" name="Contagem" dataDxfId="0">
      <calculatedColumnFormula>1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Personalizada 1">
      <a:dk1>
        <a:srgbClr val="3B5998"/>
      </a:dk1>
      <a:lt1>
        <a:srgbClr val="FEFAC8"/>
      </a:lt1>
      <a:dk2>
        <a:srgbClr val="35495E"/>
      </a:dk2>
      <a:lt2>
        <a:srgbClr val="FFFFF0"/>
      </a:lt2>
      <a:accent1>
        <a:srgbClr val="B2B2FF"/>
      </a:accent1>
      <a:accent2>
        <a:srgbClr val="FFEAA7"/>
      </a:accent2>
      <a:accent3>
        <a:srgbClr val="73C2FB"/>
      </a:accent3>
      <a:accent4>
        <a:srgbClr val="FFE765"/>
      </a:accent4>
      <a:accent5>
        <a:srgbClr val="CFCFC4"/>
      </a:accent5>
      <a:accent6>
        <a:srgbClr val="808080"/>
      </a:accent6>
      <a:hlink>
        <a:srgbClr val="87CEFA"/>
      </a:hlink>
      <a:folHlink>
        <a:srgbClr val="FFD700"/>
      </a:folHlink>
    </a:clrScheme>
    <a:fontScheme name="Personalizada 1">
      <a:majorFont>
        <a:latin typeface="Arial Rounded MT Bold"/>
        <a:ea typeface=""/>
        <a:cs typeface=""/>
      </a:majorFont>
      <a:minorFont>
        <a:latin typeface="Arial Rounded MT Bol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brielrocha@outlook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B470-481E-4E60-BD53-D8890802FED0}">
  <sheetPr codeName="Sheet1"/>
  <dimension ref="A1:F6"/>
  <sheetViews>
    <sheetView showGridLines="0" tabSelected="1" zoomScale="80" zoomScaleNormal="80" workbookViewId="0">
      <selection activeCell="N18" sqref="N18"/>
    </sheetView>
  </sheetViews>
  <sheetFormatPr defaultColWidth="8.90625" defaultRowHeight="13.8"/>
  <cols>
    <col min="1" max="16384" width="8.90625" style="1"/>
  </cols>
  <sheetData>
    <row r="1" spans="1:6" s="9" customFormat="1" ht="15" customHeight="1">
      <c r="A1" s="11"/>
      <c r="B1" s="12"/>
      <c r="C1" s="12"/>
      <c r="D1" s="12"/>
      <c r="E1" s="12"/>
      <c r="F1" s="8"/>
    </row>
    <row r="2" spans="1:6" s="9" customFormat="1" ht="15" customHeight="1">
      <c r="A2" s="12"/>
      <c r="B2" s="12"/>
      <c r="C2" s="12"/>
      <c r="D2" s="12"/>
      <c r="E2" s="12"/>
      <c r="F2" s="8"/>
    </row>
    <row r="3" spans="1:6" s="9" customFormat="1" ht="15" customHeight="1">
      <c r="A3" s="12"/>
      <c r="B3" s="12"/>
      <c r="C3" s="12"/>
      <c r="D3" s="12"/>
      <c r="E3" s="12"/>
      <c r="F3" s="8"/>
    </row>
    <row r="4" spans="1:6" s="9" customFormat="1" ht="15" customHeight="1">
      <c r="A4" s="12"/>
      <c r="B4" s="12"/>
      <c r="C4" s="12"/>
      <c r="D4" s="12"/>
      <c r="E4" s="12"/>
      <c r="F4" s="8"/>
    </row>
    <row r="5" spans="1:6" s="9" customFormat="1">
      <c r="A5" s="12"/>
      <c r="B5" s="12"/>
      <c r="C5" s="12"/>
      <c r="D5" s="12"/>
      <c r="E5" s="12"/>
    </row>
    <row r="6" spans="1:6" s="9" customFormat="1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breForm">
                <anchor moveWithCells="1" sizeWithCells="1">
                  <from>
                    <xdr:col>14</xdr:col>
                    <xdr:colOff>723900</xdr:colOff>
                    <xdr:row>1</xdr:row>
                    <xdr:rowOff>106680</xdr:rowOff>
                  </from>
                  <to>
                    <xdr:col>17</xdr:col>
                    <xdr:colOff>144780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92079-C2F4-4374-A7E9-A8AC953BE5A1}">
  <sheetPr codeName="Sheet2"/>
  <dimension ref="A1:F6"/>
  <sheetViews>
    <sheetView showGridLines="0" zoomScale="80" zoomScaleNormal="80" workbookViewId="0">
      <selection activeCell="G9" sqref="G9"/>
    </sheetView>
  </sheetViews>
  <sheetFormatPr defaultColWidth="8.90625" defaultRowHeight="13.8"/>
  <cols>
    <col min="1" max="9" width="8.90625" style="1"/>
    <col min="10" max="10" width="18.453125" style="1" customWidth="1"/>
    <col min="11" max="11" width="26.81640625" style="1" customWidth="1"/>
    <col min="12" max="16384" width="8.90625" style="1"/>
  </cols>
  <sheetData>
    <row r="1" spans="1:6" s="9" customFormat="1" ht="15" customHeight="1">
      <c r="A1" s="11"/>
      <c r="B1" s="12"/>
      <c r="C1" s="12"/>
      <c r="D1" s="12"/>
      <c r="E1" s="12"/>
      <c r="F1" s="8"/>
    </row>
    <row r="2" spans="1:6" s="9" customFormat="1" ht="15" customHeight="1">
      <c r="A2" s="12"/>
      <c r="B2" s="12"/>
      <c r="C2" s="12"/>
      <c r="D2" s="12"/>
      <c r="E2" s="12"/>
      <c r="F2" s="8"/>
    </row>
    <row r="3" spans="1:6" s="9" customFormat="1" ht="15" customHeight="1">
      <c r="A3" s="12"/>
      <c r="B3" s="12"/>
      <c r="C3" s="12"/>
      <c r="D3" s="12"/>
      <c r="E3" s="12"/>
      <c r="F3" s="8"/>
    </row>
    <row r="4" spans="1:6" s="9" customFormat="1" ht="15" customHeight="1">
      <c r="A4" s="12"/>
      <c r="B4" s="12"/>
      <c r="C4" s="12"/>
      <c r="D4" s="12"/>
      <c r="E4" s="12"/>
      <c r="F4" s="8"/>
    </row>
    <row r="5" spans="1:6" s="9" customFormat="1">
      <c r="A5" s="12"/>
      <c r="B5" s="12"/>
      <c r="C5" s="12"/>
      <c r="D5" s="12"/>
      <c r="E5" s="12"/>
    </row>
    <row r="6" spans="1:6" s="9" customFormat="1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3304-7672-48B5-9750-9BEF6523841D}">
  <sheetPr codeName="Sheet3"/>
  <dimension ref="A1:T691"/>
  <sheetViews>
    <sheetView showGridLines="0" topLeftCell="A38" zoomScale="80" zoomScaleNormal="80" workbookViewId="0">
      <selection activeCell="D65" sqref="D65"/>
    </sheetView>
  </sheetViews>
  <sheetFormatPr defaultColWidth="8.90625" defaultRowHeight="13.8"/>
  <cols>
    <col min="1" max="1" width="25.36328125" style="1" bestFit="1" customWidth="1"/>
    <col min="2" max="2" width="28.08984375" style="1" bestFit="1" customWidth="1"/>
    <col min="3" max="3" width="18.6328125" style="1" bestFit="1" customWidth="1"/>
    <col min="4" max="4" width="21.08984375" style="1" bestFit="1" customWidth="1"/>
    <col min="5" max="5" width="17.81640625" style="1" bestFit="1" customWidth="1"/>
    <col min="6" max="6" width="22.54296875" style="1" bestFit="1" customWidth="1"/>
    <col min="7" max="7" width="27.81640625" style="1" bestFit="1" customWidth="1"/>
    <col min="8" max="8" width="28.54296875" style="1" bestFit="1" customWidth="1"/>
    <col min="9" max="9" width="27.81640625" style="1" bestFit="1" customWidth="1"/>
    <col min="10" max="10" width="69" style="1" bestFit="1" customWidth="1"/>
    <col min="11" max="11" width="72.36328125" style="1" bestFit="1" customWidth="1"/>
    <col min="12" max="12" width="77.08984375" style="1" bestFit="1" customWidth="1"/>
    <col min="13" max="13" width="72.54296875" style="1" bestFit="1" customWidth="1"/>
    <col min="14" max="14" width="73.08984375" style="1" bestFit="1" customWidth="1"/>
    <col min="15" max="15" width="77.08984375" style="1" bestFit="1" customWidth="1"/>
    <col min="16" max="16" width="65.54296875" style="1" bestFit="1" customWidth="1"/>
    <col min="17" max="17" width="12.36328125" style="1" bestFit="1" customWidth="1"/>
    <col min="18" max="18" width="23.08984375" style="1" customWidth="1"/>
    <col min="19" max="19" width="11.54296875" style="1" bestFit="1" customWidth="1"/>
    <col min="20" max="20" width="12.6328125" style="1" bestFit="1" customWidth="1"/>
    <col min="21" max="21" width="12.90625" style="1" customWidth="1"/>
    <col min="22" max="16384" width="8.90625" style="1"/>
  </cols>
  <sheetData>
    <row r="1" spans="1:20" s="9" customFormat="1" ht="15" customHeight="1">
      <c r="A1" s="11"/>
      <c r="B1" s="12"/>
      <c r="C1" s="12"/>
      <c r="D1" s="12"/>
      <c r="E1" s="12"/>
      <c r="F1" s="8"/>
    </row>
    <row r="2" spans="1:20" s="9" customFormat="1" ht="15" customHeight="1">
      <c r="A2" s="12"/>
      <c r="B2" s="12"/>
      <c r="C2" s="12"/>
      <c r="D2" s="12"/>
      <c r="E2" s="12"/>
      <c r="F2" s="8"/>
    </row>
    <row r="3" spans="1:20" s="9" customFormat="1" ht="15" customHeight="1">
      <c r="A3" s="12"/>
      <c r="B3" s="12"/>
      <c r="C3" s="12"/>
      <c r="D3" s="12"/>
      <c r="E3" s="12"/>
      <c r="F3" s="8"/>
    </row>
    <row r="4" spans="1:20" s="9" customFormat="1" ht="15" customHeight="1">
      <c r="A4" s="12"/>
      <c r="B4" s="12"/>
      <c r="C4" s="12"/>
      <c r="D4" s="12"/>
      <c r="E4" s="12"/>
      <c r="F4" s="8"/>
    </row>
    <row r="5" spans="1:20" s="9" customFormat="1" ht="15" customHeight="1">
      <c r="A5" s="12"/>
      <c r="B5" s="12"/>
      <c r="C5" s="12"/>
      <c r="D5" s="12"/>
      <c r="E5" s="12"/>
    </row>
    <row r="6" spans="1:20" s="9" customFormat="1" ht="15" customHeight="1">
      <c r="A6" s="12"/>
      <c r="B6" s="12"/>
      <c r="C6" s="12"/>
      <c r="D6" s="12"/>
      <c r="E6" s="12"/>
    </row>
    <row r="9" spans="1:20">
      <c r="C9" s="2">
        <f>SUBTOTAL(103,DATA_TB[Qual sua idade])</f>
        <v>44</v>
      </c>
    </row>
    <row r="10" spans="1:20" ht="55.2">
      <c r="A10" s="3" t="s">
        <v>0</v>
      </c>
      <c r="B10" s="3" t="s">
        <v>1</v>
      </c>
      <c r="C10" s="3" t="s">
        <v>2</v>
      </c>
      <c r="D10" s="3" t="s">
        <v>3</v>
      </c>
      <c r="E10" s="3" t="s">
        <v>134</v>
      </c>
      <c r="F10" s="3" t="s">
        <v>4</v>
      </c>
      <c r="G10" s="3" t="s">
        <v>5</v>
      </c>
      <c r="H10" s="3" t="s">
        <v>6</v>
      </c>
      <c r="I10" s="3" t="s">
        <v>7</v>
      </c>
      <c r="J10" s="3" t="s">
        <v>8</v>
      </c>
      <c r="K10" s="3" t="s">
        <v>9</v>
      </c>
      <c r="L10" s="3" t="s">
        <v>10</v>
      </c>
      <c r="M10" s="3" t="s">
        <v>11</v>
      </c>
      <c r="N10" s="3" t="s">
        <v>12</v>
      </c>
      <c r="O10" s="3" t="s">
        <v>13</v>
      </c>
      <c r="P10" s="3" t="s">
        <v>14</v>
      </c>
      <c r="Q10" s="3" t="s">
        <v>141</v>
      </c>
      <c r="R10" s="3" t="s">
        <v>147</v>
      </c>
      <c r="S10" s="3" t="s">
        <v>148</v>
      </c>
      <c r="T10" s="3" t="s">
        <v>149</v>
      </c>
    </row>
    <row r="11" spans="1:20">
      <c r="A11" s="4">
        <v>45052.858310185184</v>
      </c>
      <c r="B11" s="3" t="s">
        <v>15</v>
      </c>
      <c r="C11" s="3" t="s">
        <v>130</v>
      </c>
      <c r="D11" s="3" t="s">
        <v>16</v>
      </c>
      <c r="E11" s="3" t="s">
        <v>136</v>
      </c>
      <c r="F11" s="3" t="s">
        <v>17</v>
      </c>
      <c r="G11" s="3" t="s">
        <v>18</v>
      </c>
      <c r="H11" s="3" t="s">
        <v>19</v>
      </c>
      <c r="I11" s="3" t="s">
        <v>33</v>
      </c>
      <c r="J11" s="3"/>
      <c r="K11" s="3"/>
      <c r="L11" s="3"/>
      <c r="M11" s="3"/>
      <c r="N11" s="3"/>
      <c r="O11" s="3"/>
      <c r="P11" s="3"/>
      <c r="Q11" s="5" cm="1">
        <f t="array" ref="Q1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1" s="3" t="s">
        <v>145</v>
      </c>
      <c r="S11" s="7">
        <f>1/COUNTIFS(DATA_TB[To Have Suporte],DATA_TB[[#This Row],[To Have Suporte]])</f>
        <v>0.16666666666666666</v>
      </c>
      <c r="T11" s="3">
        <f>1</f>
        <v>1</v>
      </c>
    </row>
    <row r="12" spans="1:20">
      <c r="A12" s="4">
        <v>45052.865868055553</v>
      </c>
      <c r="B12" s="3"/>
      <c r="C12" s="3" t="s">
        <v>130</v>
      </c>
      <c r="D12" s="3" t="s">
        <v>16</v>
      </c>
      <c r="E12" s="3" t="s">
        <v>135</v>
      </c>
      <c r="F12" s="3" t="s">
        <v>17</v>
      </c>
      <c r="G12" s="3" t="s">
        <v>20</v>
      </c>
      <c r="H12" s="3" t="s">
        <v>19</v>
      </c>
      <c r="I12" s="3" t="s">
        <v>21</v>
      </c>
      <c r="J12" s="3" t="s">
        <v>22</v>
      </c>
      <c r="K12" s="3" t="s">
        <v>23</v>
      </c>
      <c r="L12" s="3"/>
      <c r="M12" s="3" t="s">
        <v>24</v>
      </c>
      <c r="N12" s="3"/>
      <c r="O12" s="3"/>
      <c r="P12" s="3"/>
      <c r="Q12" s="5" cm="1">
        <f t="array" ref="Q1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2" s="3" t="s">
        <v>145</v>
      </c>
      <c r="S12" s="7">
        <f>1/COUNTIFS(DATA_TB[To Have Suporte],DATA_TB[[#This Row],[To Have Suporte]])</f>
        <v>0.16666666666666666</v>
      </c>
      <c r="T12" s="3">
        <f>1</f>
        <v>1</v>
      </c>
    </row>
    <row r="13" spans="1:20">
      <c r="A13" s="4">
        <v>45053.387060185189</v>
      </c>
      <c r="B13" s="3" t="s">
        <v>25</v>
      </c>
      <c r="C13" s="3" t="s">
        <v>131</v>
      </c>
      <c r="D13" s="3" t="s">
        <v>26</v>
      </c>
      <c r="E13" s="3" t="s">
        <v>136</v>
      </c>
      <c r="F13" s="3" t="s">
        <v>17</v>
      </c>
      <c r="G13" s="3" t="s">
        <v>18</v>
      </c>
      <c r="H13" s="3" t="s">
        <v>19</v>
      </c>
      <c r="I13" s="3" t="s">
        <v>33</v>
      </c>
      <c r="J13" s="3"/>
      <c r="K13" s="3"/>
      <c r="L13" s="3"/>
      <c r="M13" s="3"/>
      <c r="N13" s="3"/>
      <c r="O13" s="3"/>
      <c r="P13" s="3" t="s">
        <v>27</v>
      </c>
      <c r="Q13" s="5" cm="1">
        <f t="array" ref="Q1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13" s="3" t="s">
        <v>143</v>
      </c>
      <c r="S13" s="7">
        <f>1/COUNTIFS(DATA_TB[To Have Suporte],DATA_TB[[#This Row],[To Have Suporte]])</f>
        <v>9.0909090909090912E-2</v>
      </c>
      <c r="T13" s="3">
        <f>1</f>
        <v>1</v>
      </c>
    </row>
    <row r="14" spans="1:20" ht="41.4">
      <c r="A14" s="4">
        <v>45053.480243055557</v>
      </c>
      <c r="B14" s="3" t="s">
        <v>28</v>
      </c>
      <c r="C14" s="3" t="s">
        <v>131</v>
      </c>
      <c r="D14" s="3" t="s">
        <v>16</v>
      </c>
      <c r="E14" s="3" t="s">
        <v>135</v>
      </c>
      <c r="F14" s="3" t="s">
        <v>17</v>
      </c>
      <c r="G14" s="3" t="s">
        <v>20</v>
      </c>
      <c r="H14" s="3" t="s">
        <v>19</v>
      </c>
      <c r="I14" s="3" t="s">
        <v>33</v>
      </c>
      <c r="J14" s="3"/>
      <c r="K14" s="3"/>
      <c r="L14" s="3"/>
      <c r="M14" s="3"/>
      <c r="N14" s="3"/>
      <c r="O14" s="3"/>
      <c r="P14" s="3" t="s">
        <v>29</v>
      </c>
      <c r="Q14" s="5" cm="1">
        <f t="array" ref="Q1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4" s="3" t="s">
        <v>81</v>
      </c>
      <c r="S14" s="7">
        <f>1/COUNTIFS(DATA_TB[To Have Suporte],DATA_TB[[#This Row],[To Have Suporte]])</f>
        <v>7.1428571428571425E-2</v>
      </c>
      <c r="T14" s="3">
        <f>1</f>
        <v>1</v>
      </c>
    </row>
    <row r="15" spans="1:20" ht="27.6">
      <c r="A15" s="4">
        <v>45053.641863425924</v>
      </c>
      <c r="B15" s="3" t="s">
        <v>30</v>
      </c>
      <c r="C15" s="3" t="s">
        <v>132</v>
      </c>
      <c r="D15" s="3" t="s">
        <v>16</v>
      </c>
      <c r="E15" s="3" t="s">
        <v>135</v>
      </c>
      <c r="F15" s="3" t="s">
        <v>17</v>
      </c>
      <c r="G15" s="3" t="s">
        <v>31</v>
      </c>
      <c r="H15" s="3" t="s">
        <v>32</v>
      </c>
      <c r="I15" s="3" t="s">
        <v>33</v>
      </c>
      <c r="J15" s="3" t="s">
        <v>34</v>
      </c>
      <c r="K15" s="3" t="s">
        <v>35</v>
      </c>
      <c r="L15" s="3" t="s">
        <v>36</v>
      </c>
      <c r="M15" s="3" t="s">
        <v>37</v>
      </c>
      <c r="N15" s="3" t="s">
        <v>38</v>
      </c>
      <c r="O15" s="3" t="s">
        <v>39</v>
      </c>
      <c r="P15" s="3" t="s">
        <v>40</v>
      </c>
      <c r="Q15" s="5" cm="1">
        <f t="array" ref="Q1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15" s="3" t="s">
        <v>146</v>
      </c>
      <c r="S15" s="7">
        <f>1/COUNTIFS(DATA_TB[To Have Suporte],DATA_TB[[#This Row],[To Have Suporte]])</f>
        <v>0.1</v>
      </c>
      <c r="T15" s="3">
        <f>1</f>
        <v>1</v>
      </c>
    </row>
    <row r="16" spans="1:20">
      <c r="A16" s="4">
        <v>45053.956250000003</v>
      </c>
      <c r="B16" s="3" t="s">
        <v>41</v>
      </c>
      <c r="C16" s="3" t="s">
        <v>131</v>
      </c>
      <c r="D16" s="3" t="s">
        <v>26</v>
      </c>
      <c r="E16" s="3" t="s">
        <v>135</v>
      </c>
      <c r="F16" s="3" t="s">
        <v>17</v>
      </c>
      <c r="G16" s="3" t="s">
        <v>42</v>
      </c>
      <c r="H16" s="3" t="s">
        <v>19</v>
      </c>
      <c r="I16" s="3" t="s">
        <v>33</v>
      </c>
      <c r="J16" s="3"/>
      <c r="K16" s="3"/>
      <c r="L16" s="3"/>
      <c r="M16" s="3"/>
      <c r="N16" s="3"/>
      <c r="O16" s="3"/>
      <c r="P16" s="3" t="s">
        <v>43</v>
      </c>
      <c r="Q16" s="5" cm="1">
        <f t="array" ref="Q1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16" s="3" t="s">
        <v>142</v>
      </c>
      <c r="S16" s="7">
        <f>1/COUNTIFS(DATA_TB[To Have Suporte],DATA_TB[[#This Row],[To Have Suporte]])</f>
        <v>1</v>
      </c>
      <c r="T16" s="3">
        <f>1</f>
        <v>1</v>
      </c>
    </row>
    <row r="17" spans="1:20">
      <c r="A17" s="4">
        <v>45054.022106481483</v>
      </c>
      <c r="B17" s="3" t="s">
        <v>44</v>
      </c>
      <c r="C17" s="3" t="s">
        <v>131</v>
      </c>
      <c r="D17" s="3" t="s">
        <v>16</v>
      </c>
      <c r="E17" s="3" t="s">
        <v>135</v>
      </c>
      <c r="F17" s="3" t="s">
        <v>17</v>
      </c>
      <c r="G17" s="3" t="s">
        <v>20</v>
      </c>
      <c r="H17" s="3" t="s">
        <v>45</v>
      </c>
      <c r="I17" s="3" t="s">
        <v>33</v>
      </c>
      <c r="J17" s="3" t="s">
        <v>34</v>
      </c>
      <c r="K17" s="3" t="s">
        <v>46</v>
      </c>
      <c r="L17" s="3" t="s">
        <v>47</v>
      </c>
      <c r="M17" s="3" t="s">
        <v>48</v>
      </c>
      <c r="N17" s="3" t="s">
        <v>49</v>
      </c>
      <c r="O17" s="3" t="s">
        <v>50</v>
      </c>
      <c r="P17" s="3" t="s">
        <v>51</v>
      </c>
      <c r="Q17" s="5" cm="1">
        <f t="array" ref="Q1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7" s="3" t="s">
        <v>81</v>
      </c>
      <c r="S17" s="7">
        <f>1/COUNTIFS(DATA_TB[To Have Suporte],DATA_TB[[#This Row],[To Have Suporte]])</f>
        <v>7.1428571428571425E-2</v>
      </c>
      <c r="T17" s="3">
        <f>1</f>
        <v>1</v>
      </c>
    </row>
    <row r="18" spans="1:20" ht="27.6">
      <c r="A18" s="4">
        <v>45054.184444444443</v>
      </c>
      <c r="B18" s="3" t="s">
        <v>52</v>
      </c>
      <c r="C18" s="3" t="s">
        <v>131</v>
      </c>
      <c r="D18" s="3" t="s">
        <v>16</v>
      </c>
      <c r="E18" s="3" t="s">
        <v>135</v>
      </c>
      <c r="F18" s="3" t="s">
        <v>17</v>
      </c>
      <c r="G18" s="3" t="s">
        <v>20</v>
      </c>
      <c r="H18" s="3" t="s">
        <v>19</v>
      </c>
      <c r="I18" s="3" t="s">
        <v>33</v>
      </c>
      <c r="J18" s="3"/>
      <c r="K18" s="3"/>
      <c r="L18" s="3"/>
      <c r="M18" s="3"/>
      <c r="N18" s="3"/>
      <c r="O18" s="3"/>
      <c r="P18" s="3" t="s">
        <v>53</v>
      </c>
      <c r="Q18" s="5" cm="1">
        <f t="array" ref="Q1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18" s="3" t="s">
        <v>81</v>
      </c>
      <c r="S18" s="7">
        <f>1/COUNTIFS(DATA_TB[To Have Suporte],DATA_TB[[#This Row],[To Have Suporte]])</f>
        <v>7.1428571428571425E-2</v>
      </c>
      <c r="T18" s="3">
        <f>1</f>
        <v>1</v>
      </c>
    </row>
    <row r="19" spans="1:20" ht="27.6">
      <c r="A19" s="4">
        <v>45054.203819444447</v>
      </c>
      <c r="B19" s="3" t="s">
        <v>54</v>
      </c>
      <c r="C19" s="3" t="s">
        <v>130</v>
      </c>
      <c r="D19" s="3" t="s">
        <v>16</v>
      </c>
      <c r="E19" s="3" t="s">
        <v>135</v>
      </c>
      <c r="F19" s="3" t="s">
        <v>17</v>
      </c>
      <c r="G19" s="3" t="s">
        <v>55</v>
      </c>
      <c r="H19" s="3" t="s">
        <v>19</v>
      </c>
      <c r="I19" s="3" t="s">
        <v>33</v>
      </c>
      <c r="J19" s="3"/>
      <c r="K19" s="3"/>
      <c r="L19" s="3"/>
      <c r="M19" s="3"/>
      <c r="N19" s="3"/>
      <c r="O19" s="3"/>
      <c r="P19" s="3" t="s">
        <v>56</v>
      </c>
      <c r="Q19" s="5" cm="1">
        <f t="array" ref="Q1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19" s="3" t="s">
        <v>145</v>
      </c>
      <c r="S19" s="7">
        <f>1/COUNTIFS(DATA_TB[To Have Suporte],DATA_TB[[#This Row],[To Have Suporte]])</f>
        <v>0.16666666666666666</v>
      </c>
      <c r="T19" s="3">
        <f>1</f>
        <v>1</v>
      </c>
    </row>
    <row r="20" spans="1:20">
      <c r="A20" s="4">
        <v>45054.335833333331</v>
      </c>
      <c r="B20" s="3" t="s">
        <v>57</v>
      </c>
      <c r="C20" s="3" t="s">
        <v>132</v>
      </c>
      <c r="D20" s="3" t="s">
        <v>26</v>
      </c>
      <c r="E20" s="3" t="s">
        <v>135</v>
      </c>
      <c r="F20" s="3" t="s">
        <v>17</v>
      </c>
      <c r="G20" s="3" t="s">
        <v>31</v>
      </c>
      <c r="H20" s="3" t="s">
        <v>19</v>
      </c>
      <c r="I20" s="3" t="s">
        <v>33</v>
      </c>
      <c r="J20" s="3"/>
      <c r="K20" s="3"/>
      <c r="L20" s="3"/>
      <c r="M20" s="3"/>
      <c r="N20" s="3"/>
      <c r="O20" s="3"/>
      <c r="P20" s="3" t="s">
        <v>58</v>
      </c>
      <c r="Q20" s="5" cm="1">
        <f t="array" ref="Q2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0" s="3" t="s">
        <v>146</v>
      </c>
      <c r="S20" s="7">
        <f>1/COUNTIFS(DATA_TB[To Have Suporte],DATA_TB[[#This Row],[To Have Suporte]])</f>
        <v>0.1</v>
      </c>
      <c r="T20" s="3">
        <f>1</f>
        <v>1</v>
      </c>
    </row>
    <row r="21" spans="1:20">
      <c r="A21" s="4">
        <v>45054.337916666664</v>
      </c>
      <c r="B21" s="3" t="s">
        <v>59</v>
      </c>
      <c r="C21" s="3" t="s">
        <v>130</v>
      </c>
      <c r="D21" s="3" t="s">
        <v>16</v>
      </c>
      <c r="E21" s="3" t="s">
        <v>135</v>
      </c>
      <c r="F21" s="3" t="s">
        <v>17</v>
      </c>
      <c r="G21" s="3" t="s">
        <v>55</v>
      </c>
      <c r="H21" s="3" t="s">
        <v>60</v>
      </c>
      <c r="I21" s="3" t="s">
        <v>33</v>
      </c>
      <c r="J21" s="3" t="s">
        <v>61</v>
      </c>
      <c r="K21" s="3" t="s">
        <v>62</v>
      </c>
      <c r="L21" s="3" t="s">
        <v>47</v>
      </c>
      <c r="M21" s="3" t="s">
        <v>62</v>
      </c>
      <c r="N21" s="3" t="s">
        <v>63</v>
      </c>
      <c r="O21" s="3" t="s">
        <v>64</v>
      </c>
      <c r="P21" s="3" t="s">
        <v>65</v>
      </c>
      <c r="Q21" s="5" cm="1">
        <f t="array" ref="Q2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1" s="3" t="s">
        <v>81</v>
      </c>
      <c r="S21" s="7">
        <f>1/COUNTIFS(DATA_TB[To Have Suporte],DATA_TB[[#This Row],[To Have Suporte]])</f>
        <v>7.1428571428571425E-2</v>
      </c>
      <c r="T21" s="3">
        <f>1</f>
        <v>1</v>
      </c>
    </row>
    <row r="22" spans="1:20">
      <c r="A22" s="4">
        <v>45054.400300925925</v>
      </c>
      <c r="B22" s="3"/>
      <c r="C22" s="3" t="s">
        <v>130</v>
      </c>
      <c r="D22" s="3" t="s">
        <v>26</v>
      </c>
      <c r="E22" s="3" t="s">
        <v>135</v>
      </c>
      <c r="F22" s="3" t="s">
        <v>17</v>
      </c>
      <c r="G22" s="3" t="s">
        <v>42</v>
      </c>
      <c r="H22" s="3" t="s">
        <v>19</v>
      </c>
      <c r="I22" s="3" t="s">
        <v>33</v>
      </c>
      <c r="J22" s="3"/>
      <c r="K22" s="3"/>
      <c r="L22" s="3"/>
      <c r="M22" s="3"/>
      <c r="N22" s="3"/>
      <c r="O22" s="3"/>
      <c r="P22" s="3" t="s">
        <v>66</v>
      </c>
      <c r="Q22" s="5" cm="1">
        <f t="array" ref="Q2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8000</v>
      </c>
      <c r="R22" s="3" t="s">
        <v>143</v>
      </c>
      <c r="S22" s="7">
        <f>1/COUNTIFS(DATA_TB[To Have Suporte],DATA_TB[[#This Row],[To Have Suporte]])</f>
        <v>9.0909090909090912E-2</v>
      </c>
      <c r="T22" s="3">
        <f>1</f>
        <v>1</v>
      </c>
    </row>
    <row r="23" spans="1:20">
      <c r="A23" s="4">
        <v>45054.400671296295</v>
      </c>
      <c r="B23" s="3"/>
      <c r="C23" s="3" t="s">
        <v>130</v>
      </c>
      <c r="D23" s="3" t="s">
        <v>26</v>
      </c>
      <c r="E23" s="3" t="s">
        <v>135</v>
      </c>
      <c r="F23" s="3" t="s">
        <v>17</v>
      </c>
      <c r="G23" s="3" t="s">
        <v>20</v>
      </c>
      <c r="H23" s="3" t="s">
        <v>19</v>
      </c>
      <c r="I23" s="3" t="s">
        <v>33</v>
      </c>
      <c r="J23" s="3"/>
      <c r="K23" s="3"/>
      <c r="L23" s="3"/>
      <c r="M23" s="3"/>
      <c r="N23" s="3"/>
      <c r="O23" s="3"/>
      <c r="P23" s="3" t="s">
        <v>67</v>
      </c>
      <c r="Q23" s="5" cm="1">
        <f t="array" ref="Q2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3" s="3" t="s">
        <v>81</v>
      </c>
      <c r="S23" s="7">
        <f>1/COUNTIFS(DATA_TB[To Have Suporte],DATA_TB[[#This Row],[To Have Suporte]])</f>
        <v>7.1428571428571425E-2</v>
      </c>
      <c r="T23" s="3">
        <f>1</f>
        <v>1</v>
      </c>
    </row>
    <row r="24" spans="1:20">
      <c r="A24" s="4">
        <v>45054.418182870373</v>
      </c>
      <c r="B24" s="3"/>
      <c r="C24" s="3" t="s">
        <v>130</v>
      </c>
      <c r="D24" s="3" t="s">
        <v>26</v>
      </c>
      <c r="E24" s="3" t="s">
        <v>135</v>
      </c>
      <c r="F24" s="3" t="s">
        <v>17</v>
      </c>
      <c r="G24" s="3" t="s">
        <v>55</v>
      </c>
      <c r="H24" s="3" t="s">
        <v>19</v>
      </c>
      <c r="I24" s="3" t="s">
        <v>33</v>
      </c>
      <c r="J24" s="3"/>
      <c r="K24" s="3"/>
      <c r="L24" s="3"/>
      <c r="M24" s="3"/>
      <c r="N24" s="3"/>
      <c r="O24" s="3"/>
      <c r="P24" s="3" t="s">
        <v>68</v>
      </c>
      <c r="Q24" s="5" cm="1">
        <f t="array" ref="Q2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4" s="3" t="s">
        <v>144</v>
      </c>
      <c r="S24" s="7">
        <f>1/COUNTIFS(DATA_TB[To Have Suporte],DATA_TB[[#This Row],[To Have Suporte]])</f>
        <v>1</v>
      </c>
      <c r="T24" s="3">
        <f>1</f>
        <v>1</v>
      </c>
    </row>
    <row r="25" spans="1:20">
      <c r="A25" s="4">
        <v>45054.419432870367</v>
      </c>
      <c r="B25" s="3"/>
      <c r="C25" s="3" t="s">
        <v>130</v>
      </c>
      <c r="D25" s="3" t="s">
        <v>26</v>
      </c>
      <c r="E25" s="3" t="s">
        <v>135</v>
      </c>
      <c r="F25" s="3" t="s">
        <v>17</v>
      </c>
      <c r="G25" s="3" t="s">
        <v>31</v>
      </c>
      <c r="H25" s="3" t="s">
        <v>19</v>
      </c>
      <c r="I25" s="3" t="s">
        <v>33</v>
      </c>
      <c r="J25" s="3"/>
      <c r="K25" s="3"/>
      <c r="L25" s="3"/>
      <c r="M25" s="3"/>
      <c r="N25" s="3"/>
      <c r="O25" s="3"/>
      <c r="P25" s="3" t="s">
        <v>69</v>
      </c>
      <c r="Q25" s="5" cm="1">
        <f t="array" ref="Q2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25" s="3" t="s">
        <v>143</v>
      </c>
      <c r="S25" s="7">
        <f>1/COUNTIFS(DATA_TB[To Have Suporte],DATA_TB[[#This Row],[To Have Suporte]])</f>
        <v>9.0909090909090912E-2</v>
      </c>
      <c r="T25" s="3">
        <f>1</f>
        <v>1</v>
      </c>
    </row>
    <row r="26" spans="1:20">
      <c r="A26" s="4">
        <v>45054.419872685183</v>
      </c>
      <c r="B26" s="3"/>
      <c r="C26" s="3" t="s">
        <v>130</v>
      </c>
      <c r="D26" s="3" t="s">
        <v>16</v>
      </c>
      <c r="E26" s="3" t="s">
        <v>135</v>
      </c>
      <c r="F26" s="3" t="s">
        <v>17</v>
      </c>
      <c r="G26" s="3" t="s">
        <v>18</v>
      </c>
      <c r="H26" s="3" t="s">
        <v>19</v>
      </c>
      <c r="I26" s="3" t="s">
        <v>33</v>
      </c>
      <c r="J26" s="3"/>
      <c r="K26" s="3"/>
      <c r="L26" s="3"/>
      <c r="M26" s="3"/>
      <c r="N26" s="3"/>
      <c r="O26" s="3"/>
      <c r="P26" s="3" t="s">
        <v>70</v>
      </c>
      <c r="Q26" s="5" cm="1">
        <f t="array" ref="Q2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6" s="3" t="s">
        <v>143</v>
      </c>
      <c r="S26" s="7">
        <f>1/COUNTIFS(DATA_TB[To Have Suporte],DATA_TB[[#This Row],[To Have Suporte]])</f>
        <v>9.0909090909090912E-2</v>
      </c>
      <c r="T26" s="3">
        <f>1</f>
        <v>1</v>
      </c>
    </row>
    <row r="27" spans="1:20">
      <c r="A27" s="4">
        <v>45054.420011574075</v>
      </c>
      <c r="B27" s="3"/>
      <c r="C27" s="3" t="s">
        <v>130</v>
      </c>
      <c r="D27" s="3" t="s">
        <v>16</v>
      </c>
      <c r="E27" s="3" t="s">
        <v>135</v>
      </c>
      <c r="F27" s="3" t="s">
        <v>17</v>
      </c>
      <c r="G27" s="3" t="s">
        <v>18</v>
      </c>
      <c r="H27" s="3" t="s">
        <v>19</v>
      </c>
      <c r="I27" s="3" t="s">
        <v>33</v>
      </c>
      <c r="J27" s="3"/>
      <c r="K27" s="3"/>
      <c r="L27" s="3"/>
      <c r="M27" s="3"/>
      <c r="N27" s="3"/>
      <c r="O27" s="3"/>
      <c r="P27" s="3" t="s">
        <v>71</v>
      </c>
      <c r="Q27" s="5" cm="1">
        <f t="array" ref="Q2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27" s="3" t="s">
        <v>145</v>
      </c>
      <c r="S27" s="7">
        <f>1/COUNTIFS(DATA_TB[To Have Suporte],DATA_TB[[#This Row],[To Have Suporte]])</f>
        <v>0.16666666666666666</v>
      </c>
      <c r="T27" s="3">
        <f>1</f>
        <v>1</v>
      </c>
    </row>
    <row r="28" spans="1:20">
      <c r="A28" s="4">
        <v>45054.421550925923</v>
      </c>
      <c r="B28" s="3"/>
      <c r="C28" s="3" t="s">
        <v>130</v>
      </c>
      <c r="D28" s="3" t="s">
        <v>26</v>
      </c>
      <c r="E28" s="3" t="s">
        <v>135</v>
      </c>
      <c r="F28" s="3" t="s">
        <v>17</v>
      </c>
      <c r="G28" s="3" t="s">
        <v>20</v>
      </c>
      <c r="H28" s="3" t="s">
        <v>45</v>
      </c>
      <c r="I28" s="3" t="s">
        <v>33</v>
      </c>
      <c r="J28" s="3" t="s">
        <v>61</v>
      </c>
      <c r="K28" s="3" t="s">
        <v>72</v>
      </c>
      <c r="L28" s="3" t="s">
        <v>73</v>
      </c>
      <c r="M28" s="3" t="s">
        <v>74</v>
      </c>
      <c r="N28" s="3" t="s">
        <v>75</v>
      </c>
      <c r="O28" s="3" t="s">
        <v>76</v>
      </c>
      <c r="P28" s="3" t="s">
        <v>77</v>
      </c>
      <c r="Q28" s="5" cm="1">
        <f t="array" ref="Q2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28" s="3" t="s">
        <v>81</v>
      </c>
      <c r="S28" s="7">
        <f>1/COUNTIFS(DATA_TB[To Have Suporte],DATA_TB[[#This Row],[To Have Suporte]])</f>
        <v>7.1428571428571425E-2</v>
      </c>
      <c r="T28" s="3">
        <f>1</f>
        <v>1</v>
      </c>
    </row>
    <row r="29" spans="1:20">
      <c r="A29" s="4">
        <v>45054.423148148147</v>
      </c>
      <c r="B29" s="3"/>
      <c r="C29" s="3" t="s">
        <v>130</v>
      </c>
      <c r="D29" s="3" t="s">
        <v>16</v>
      </c>
      <c r="E29" s="3" t="s">
        <v>135</v>
      </c>
      <c r="F29" s="3" t="s">
        <v>17</v>
      </c>
      <c r="G29" s="3" t="s">
        <v>55</v>
      </c>
      <c r="H29" s="3" t="s">
        <v>19</v>
      </c>
      <c r="I29" s="3" t="s">
        <v>33</v>
      </c>
      <c r="J29" s="3"/>
      <c r="K29" s="3"/>
      <c r="L29" s="3"/>
      <c r="M29" s="3"/>
      <c r="N29" s="3"/>
      <c r="O29" s="3"/>
      <c r="P29" s="3" t="s">
        <v>78</v>
      </c>
      <c r="Q29" s="5" cm="1">
        <f t="array" ref="Q2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29" s="3" t="s">
        <v>81</v>
      </c>
      <c r="S29" s="7">
        <f>1/COUNTIFS(DATA_TB[To Have Suporte],DATA_TB[[#This Row],[To Have Suporte]])</f>
        <v>7.1428571428571425E-2</v>
      </c>
      <c r="T29" s="3">
        <f>1</f>
        <v>1</v>
      </c>
    </row>
    <row r="30" spans="1:20">
      <c r="A30" s="4">
        <v>45054.423379629632</v>
      </c>
      <c r="B30" s="3"/>
      <c r="C30" s="3" t="s">
        <v>130</v>
      </c>
      <c r="D30" s="3" t="s">
        <v>16</v>
      </c>
      <c r="E30" s="3" t="s">
        <v>135</v>
      </c>
      <c r="F30" s="3" t="s">
        <v>17</v>
      </c>
      <c r="G30" s="3" t="s">
        <v>55</v>
      </c>
      <c r="H30" s="3" t="s">
        <v>19</v>
      </c>
      <c r="I30" s="3" t="s">
        <v>33</v>
      </c>
      <c r="J30" s="3"/>
      <c r="K30" s="3"/>
      <c r="L30" s="3"/>
      <c r="M30" s="3"/>
      <c r="N30" s="3"/>
      <c r="O30" s="3"/>
      <c r="P30" s="3" t="s">
        <v>79</v>
      </c>
      <c r="Q30" s="5" cm="1">
        <f t="array" ref="Q3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0" s="3" t="s">
        <v>81</v>
      </c>
      <c r="S30" s="7">
        <f>1/COUNTIFS(DATA_TB[To Have Suporte],DATA_TB[[#This Row],[To Have Suporte]])</f>
        <v>7.1428571428571425E-2</v>
      </c>
      <c r="T30" s="3">
        <f>1</f>
        <v>1</v>
      </c>
    </row>
    <row r="31" spans="1:20">
      <c r="A31" s="4">
        <v>45054.43005787037</v>
      </c>
      <c r="B31" s="3"/>
      <c r="C31" s="3" t="s">
        <v>133</v>
      </c>
      <c r="D31" s="3" t="s">
        <v>16</v>
      </c>
      <c r="E31" s="3" t="s">
        <v>135</v>
      </c>
      <c r="F31" s="3" t="s">
        <v>17</v>
      </c>
      <c r="G31" s="3" t="s">
        <v>55</v>
      </c>
      <c r="H31" s="3" t="s">
        <v>19</v>
      </c>
      <c r="I31" s="3" t="s">
        <v>33</v>
      </c>
      <c r="J31" s="3"/>
      <c r="K31" s="3"/>
      <c r="L31" s="3"/>
      <c r="M31" s="3"/>
      <c r="N31" s="3"/>
      <c r="O31" s="3"/>
      <c r="P31" s="3" t="s">
        <v>80</v>
      </c>
      <c r="Q31" s="5" cm="1">
        <f t="array" ref="Q3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1" s="3" t="s">
        <v>143</v>
      </c>
      <c r="S31" s="7">
        <f>1/COUNTIFS(DATA_TB[To Have Suporte],DATA_TB[[#This Row],[To Have Suporte]])</f>
        <v>9.0909090909090912E-2</v>
      </c>
      <c r="T31" s="3">
        <f>1</f>
        <v>1</v>
      </c>
    </row>
    <row r="32" spans="1:20">
      <c r="A32" s="4">
        <v>45054.431759259256</v>
      </c>
      <c r="B32" s="3"/>
      <c r="C32" s="3" t="s">
        <v>130</v>
      </c>
      <c r="D32" s="3" t="s">
        <v>26</v>
      </c>
      <c r="E32" s="3" t="s">
        <v>135</v>
      </c>
      <c r="F32" s="3" t="s">
        <v>17</v>
      </c>
      <c r="G32" s="3" t="s">
        <v>20</v>
      </c>
      <c r="H32" s="3" t="s">
        <v>19</v>
      </c>
      <c r="I32" s="3" t="s">
        <v>33</v>
      </c>
      <c r="J32" s="3"/>
      <c r="K32" s="3"/>
      <c r="L32" s="3"/>
      <c r="M32" s="3"/>
      <c r="N32" s="3"/>
      <c r="O32" s="3"/>
      <c r="P32" s="3" t="s">
        <v>81</v>
      </c>
      <c r="Q32" s="5" cm="1">
        <f t="array" ref="Q3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2" s="3" t="s">
        <v>81</v>
      </c>
      <c r="S32" s="7">
        <f>1/COUNTIFS(DATA_TB[To Have Suporte],DATA_TB[[#This Row],[To Have Suporte]])</f>
        <v>7.1428571428571425E-2</v>
      </c>
      <c r="T32" s="3">
        <f>1</f>
        <v>1</v>
      </c>
    </row>
    <row r="33" spans="1:20">
      <c r="A33" s="4">
        <v>45054.436898148146</v>
      </c>
      <c r="B33" s="3"/>
      <c r="C33" s="3" t="s">
        <v>131</v>
      </c>
      <c r="D33" s="3" t="s">
        <v>16</v>
      </c>
      <c r="E33" s="3" t="s">
        <v>135</v>
      </c>
      <c r="F33" s="3" t="s">
        <v>17</v>
      </c>
      <c r="G33" s="3" t="s">
        <v>20</v>
      </c>
      <c r="H33" s="3" t="s">
        <v>19</v>
      </c>
      <c r="I33" s="3" t="s">
        <v>33</v>
      </c>
      <c r="J33" s="3"/>
      <c r="K33" s="3"/>
      <c r="L33" s="3"/>
      <c r="M33" s="3"/>
      <c r="N33" s="3"/>
      <c r="O33" s="3"/>
      <c r="P33" s="3" t="s">
        <v>82</v>
      </c>
      <c r="Q33" s="5" cm="1">
        <f t="array" ref="Q3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3" s="3" t="s">
        <v>146</v>
      </c>
      <c r="S33" s="7">
        <f>1/COUNTIFS(DATA_TB[To Have Suporte],DATA_TB[[#This Row],[To Have Suporte]])</f>
        <v>0.1</v>
      </c>
      <c r="T33" s="3">
        <f>1</f>
        <v>1</v>
      </c>
    </row>
    <row r="34" spans="1:20">
      <c r="A34" s="4">
        <v>45054.44872685185</v>
      </c>
      <c r="B34" s="3"/>
      <c r="C34" s="3" t="s">
        <v>130</v>
      </c>
      <c r="D34" s="3" t="s">
        <v>16</v>
      </c>
      <c r="E34" s="3" t="s">
        <v>135</v>
      </c>
      <c r="F34" s="3" t="s">
        <v>17</v>
      </c>
      <c r="G34" s="3" t="s">
        <v>55</v>
      </c>
      <c r="H34" s="3" t="s">
        <v>19</v>
      </c>
      <c r="I34" s="3" t="s">
        <v>33</v>
      </c>
      <c r="J34" s="3"/>
      <c r="K34" s="3"/>
      <c r="L34" s="3"/>
      <c r="M34" s="3"/>
      <c r="N34" s="3"/>
      <c r="O34" s="3"/>
      <c r="P34" s="3" t="s">
        <v>71</v>
      </c>
      <c r="Q34" s="5" cm="1">
        <f t="array" ref="Q3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34" s="3" t="s">
        <v>145</v>
      </c>
      <c r="S34" s="7">
        <f>1/COUNTIFS(DATA_TB[To Have Suporte],DATA_TB[[#This Row],[To Have Suporte]])</f>
        <v>0.16666666666666666</v>
      </c>
      <c r="T34" s="3">
        <f>1</f>
        <v>1</v>
      </c>
    </row>
    <row r="35" spans="1:20">
      <c r="A35" s="4">
        <v>45054.522824074076</v>
      </c>
      <c r="B35" s="3"/>
      <c r="C35" s="3" t="s">
        <v>131</v>
      </c>
      <c r="D35" s="3" t="s">
        <v>16</v>
      </c>
      <c r="E35" s="3" t="s">
        <v>135</v>
      </c>
      <c r="F35" s="3" t="s">
        <v>17</v>
      </c>
      <c r="G35" s="3" t="s">
        <v>20</v>
      </c>
      <c r="H35" s="3" t="s">
        <v>19</v>
      </c>
      <c r="I35" s="3" t="s">
        <v>33</v>
      </c>
      <c r="J35" s="3"/>
      <c r="K35" s="3"/>
      <c r="L35" s="3"/>
      <c r="M35" s="3"/>
      <c r="N35" s="3"/>
      <c r="O35" s="3"/>
      <c r="P35" s="3" t="s">
        <v>83</v>
      </c>
      <c r="Q35" s="5" cm="1">
        <f t="array" ref="Q3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5" s="3" t="s">
        <v>143</v>
      </c>
      <c r="S35" s="7">
        <f>1/COUNTIFS(DATA_TB[To Have Suporte],DATA_TB[[#This Row],[To Have Suporte]])</f>
        <v>9.0909090909090912E-2</v>
      </c>
      <c r="T35" s="3">
        <f>1</f>
        <v>1</v>
      </c>
    </row>
    <row r="36" spans="1:20" ht="27.6">
      <c r="A36" s="4">
        <v>45054.45989583333</v>
      </c>
      <c r="B36" s="3" t="s">
        <v>84</v>
      </c>
      <c r="C36" s="3" t="s">
        <v>131</v>
      </c>
      <c r="D36" s="3" t="s">
        <v>26</v>
      </c>
      <c r="E36" s="3" t="s">
        <v>135</v>
      </c>
      <c r="F36" s="3" t="s">
        <v>17</v>
      </c>
      <c r="G36" s="3" t="s">
        <v>31</v>
      </c>
      <c r="H36" s="3" t="s">
        <v>19</v>
      </c>
      <c r="I36" s="3" t="s">
        <v>33</v>
      </c>
      <c r="J36" s="3"/>
      <c r="K36" s="3"/>
      <c r="L36" s="3"/>
      <c r="M36" s="3"/>
      <c r="N36" s="3"/>
      <c r="O36" s="3"/>
      <c r="P36" s="3" t="s">
        <v>85</v>
      </c>
      <c r="Q36" s="5" cm="1">
        <f t="array" ref="Q3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36" s="3" t="s">
        <v>81</v>
      </c>
      <c r="S36" s="7">
        <f>1/COUNTIFS(DATA_TB[To Have Suporte],DATA_TB[[#This Row],[To Have Suporte]])</f>
        <v>7.1428571428571425E-2</v>
      </c>
      <c r="T36" s="3">
        <f>1</f>
        <v>1</v>
      </c>
    </row>
    <row r="37" spans="1:20" ht="27.6">
      <c r="A37" s="4">
        <v>45054.465833333335</v>
      </c>
      <c r="B37" s="3"/>
      <c r="C37" s="3" t="s">
        <v>130</v>
      </c>
      <c r="D37" s="3" t="s">
        <v>26</v>
      </c>
      <c r="E37" s="3" t="s">
        <v>135</v>
      </c>
      <c r="F37" s="3" t="s">
        <v>17</v>
      </c>
      <c r="G37" s="3" t="s">
        <v>20</v>
      </c>
      <c r="H37" s="3" t="s">
        <v>19</v>
      </c>
      <c r="I37" s="3" t="s">
        <v>33</v>
      </c>
      <c r="J37" s="3"/>
      <c r="K37" s="3"/>
      <c r="L37" s="3"/>
      <c r="M37" s="3"/>
      <c r="N37" s="3"/>
      <c r="O37" s="3"/>
      <c r="P37" s="3" t="s">
        <v>86</v>
      </c>
      <c r="Q37" s="5" cm="1">
        <f t="array" ref="Q3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7" s="3" t="s">
        <v>143</v>
      </c>
      <c r="S37" s="7">
        <f>1/COUNTIFS(DATA_TB[To Have Suporte],DATA_TB[[#This Row],[To Have Suporte]])</f>
        <v>9.0909090909090912E-2</v>
      </c>
      <c r="T37" s="3">
        <f>1</f>
        <v>1</v>
      </c>
    </row>
    <row r="38" spans="1:20">
      <c r="A38" s="4">
        <v>45054.470960648148</v>
      </c>
      <c r="B38" s="3"/>
      <c r="C38" s="3" t="s">
        <v>131</v>
      </c>
      <c r="D38" s="3" t="s">
        <v>16</v>
      </c>
      <c r="E38" s="3" t="s">
        <v>135</v>
      </c>
      <c r="F38" s="3" t="s">
        <v>17</v>
      </c>
      <c r="G38" s="3" t="s">
        <v>20</v>
      </c>
      <c r="H38" s="3" t="s">
        <v>19</v>
      </c>
      <c r="I38" s="3" t="s">
        <v>33</v>
      </c>
      <c r="J38" s="3"/>
      <c r="K38" s="3"/>
      <c r="L38" s="3"/>
      <c r="M38" s="3"/>
      <c r="N38" s="3"/>
      <c r="O38" s="3"/>
      <c r="P38" s="3" t="s">
        <v>87</v>
      </c>
      <c r="Q38" s="5" cm="1">
        <f t="array" ref="Q3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8" s="3" t="s">
        <v>81</v>
      </c>
      <c r="S38" s="7">
        <f>1/COUNTIFS(DATA_TB[To Have Suporte],DATA_TB[[#This Row],[To Have Suporte]])</f>
        <v>7.1428571428571425E-2</v>
      </c>
      <c r="T38" s="3">
        <f>1</f>
        <v>1</v>
      </c>
    </row>
    <row r="39" spans="1:20">
      <c r="A39" s="4">
        <v>45054.475277777776</v>
      </c>
      <c r="B39" s="3"/>
      <c r="C39" s="3" t="s">
        <v>131</v>
      </c>
      <c r="D39" s="3" t="s">
        <v>26</v>
      </c>
      <c r="E39" s="3" t="s">
        <v>135</v>
      </c>
      <c r="F39" s="3" t="s">
        <v>17</v>
      </c>
      <c r="G39" s="3" t="s">
        <v>20</v>
      </c>
      <c r="H39" s="3" t="s">
        <v>19</v>
      </c>
      <c r="I39" s="3" t="s">
        <v>33</v>
      </c>
      <c r="J39" s="3"/>
      <c r="K39" s="3"/>
      <c r="L39" s="3"/>
      <c r="M39" s="3"/>
      <c r="N39" s="3"/>
      <c r="O39" s="3"/>
      <c r="P39" s="3" t="s">
        <v>88</v>
      </c>
      <c r="Q39" s="5" cm="1">
        <f t="array" ref="Q3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4000</v>
      </c>
      <c r="R39" s="3" t="s">
        <v>81</v>
      </c>
      <c r="S39" s="7">
        <f>1/COUNTIFS(DATA_TB[To Have Suporte],DATA_TB[[#This Row],[To Have Suporte]])</f>
        <v>7.1428571428571425E-2</v>
      </c>
      <c r="T39" s="3">
        <f>1</f>
        <v>1</v>
      </c>
    </row>
    <row r="40" spans="1:20">
      <c r="A40" s="4">
        <v>45054.561527777776</v>
      </c>
      <c r="B40" s="3"/>
      <c r="C40" s="3" t="s">
        <v>133</v>
      </c>
      <c r="D40" s="3" t="s">
        <v>26</v>
      </c>
      <c r="E40" s="3" t="s">
        <v>135</v>
      </c>
      <c r="F40" s="3" t="s">
        <v>17</v>
      </c>
      <c r="G40" s="3" t="s">
        <v>55</v>
      </c>
      <c r="H40" s="3" t="s">
        <v>19</v>
      </c>
      <c r="I40" s="3" t="s">
        <v>33</v>
      </c>
      <c r="J40" s="3"/>
      <c r="K40" s="3"/>
      <c r="L40" s="3"/>
      <c r="M40" s="3"/>
      <c r="N40" s="3"/>
      <c r="O40" s="3"/>
      <c r="P40" s="3" t="s">
        <v>89</v>
      </c>
      <c r="Q40" s="5" cm="1">
        <f t="array" ref="Q4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0" s="3" t="s">
        <v>143</v>
      </c>
      <c r="S40" s="7">
        <f>1/COUNTIFS(DATA_TB[To Have Suporte],DATA_TB[[#This Row],[To Have Suporte]])</f>
        <v>9.0909090909090912E-2</v>
      </c>
      <c r="T40" s="3">
        <f>1</f>
        <v>1</v>
      </c>
    </row>
    <row r="41" spans="1:20" ht="27.6">
      <c r="A41" s="4">
        <v>45054.689085648148</v>
      </c>
      <c r="B41" s="3"/>
      <c r="C41" s="3" t="s">
        <v>130</v>
      </c>
      <c r="D41" s="3" t="s">
        <v>26</v>
      </c>
      <c r="E41" s="3" t="s">
        <v>135</v>
      </c>
      <c r="F41" s="3" t="s">
        <v>17</v>
      </c>
      <c r="G41" s="3" t="s">
        <v>31</v>
      </c>
      <c r="H41" s="3" t="s">
        <v>19</v>
      </c>
      <c r="I41" s="3" t="s">
        <v>33</v>
      </c>
      <c r="J41" s="3"/>
      <c r="K41" s="3"/>
      <c r="L41" s="3"/>
      <c r="M41" s="3"/>
      <c r="N41" s="3"/>
      <c r="O41" s="3"/>
      <c r="P41" s="3" t="s">
        <v>90</v>
      </c>
      <c r="Q41" s="5" cm="1">
        <f t="array" ref="Q4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41" s="3" t="s">
        <v>146</v>
      </c>
      <c r="S41" s="7">
        <f>1/COUNTIFS(DATA_TB[To Have Suporte],DATA_TB[[#This Row],[To Have Suporte]])</f>
        <v>0.1</v>
      </c>
      <c r="T41" s="3">
        <f>1</f>
        <v>1</v>
      </c>
    </row>
    <row r="42" spans="1:20">
      <c r="A42" s="4">
        <v>45054.725300925929</v>
      </c>
      <c r="B42" s="3"/>
      <c r="C42" s="3" t="s">
        <v>131</v>
      </c>
      <c r="D42" s="3" t="s">
        <v>26</v>
      </c>
      <c r="E42" s="3" t="s">
        <v>135</v>
      </c>
      <c r="F42" s="3" t="s">
        <v>17</v>
      </c>
      <c r="G42" s="3" t="s">
        <v>55</v>
      </c>
      <c r="H42" s="3" t="s">
        <v>32</v>
      </c>
      <c r="I42" s="3" t="s">
        <v>33</v>
      </c>
      <c r="J42" s="3" t="s">
        <v>22</v>
      </c>
      <c r="K42" s="3" t="s">
        <v>91</v>
      </c>
      <c r="L42" s="3" t="s">
        <v>47</v>
      </c>
      <c r="M42" s="3" t="s">
        <v>92</v>
      </c>
      <c r="N42" s="3" t="s">
        <v>93</v>
      </c>
      <c r="O42" s="3" t="s">
        <v>94</v>
      </c>
      <c r="P42" s="3" t="s">
        <v>95</v>
      </c>
      <c r="Q42" s="5" cm="1">
        <f t="array" ref="Q4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2" s="3" t="s">
        <v>146</v>
      </c>
      <c r="S42" s="7">
        <f>1/COUNTIFS(DATA_TB[To Have Suporte],DATA_TB[[#This Row],[To Have Suporte]])</f>
        <v>0.1</v>
      </c>
      <c r="T42" s="3">
        <f>1</f>
        <v>1</v>
      </c>
    </row>
    <row r="43" spans="1:20">
      <c r="A43" s="4">
        <v>45054.915462962963</v>
      </c>
      <c r="B43" s="3"/>
      <c r="C43" s="3" t="s">
        <v>131</v>
      </c>
      <c r="D43" s="3" t="s">
        <v>26</v>
      </c>
      <c r="E43" s="3" t="s">
        <v>135</v>
      </c>
      <c r="F43" s="3" t="s">
        <v>17</v>
      </c>
      <c r="G43" s="3" t="s">
        <v>55</v>
      </c>
      <c r="H43" s="3" t="s">
        <v>32</v>
      </c>
      <c r="I43" s="3" t="s">
        <v>33</v>
      </c>
      <c r="J43" s="3" t="s">
        <v>61</v>
      </c>
      <c r="K43" s="3" t="s">
        <v>96</v>
      </c>
      <c r="L43" s="3" t="s">
        <v>97</v>
      </c>
      <c r="M43" s="3" t="s">
        <v>98</v>
      </c>
      <c r="N43" s="3" t="s">
        <v>99</v>
      </c>
      <c r="O43" s="3" t="s">
        <v>100</v>
      </c>
      <c r="P43" s="3" t="s">
        <v>101</v>
      </c>
      <c r="Q43" s="5" cm="1">
        <f t="array" ref="Q4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3" s="3" t="s">
        <v>81</v>
      </c>
      <c r="S43" s="7">
        <f>1/COUNTIFS(DATA_TB[To Have Suporte],DATA_TB[[#This Row],[To Have Suporte]])</f>
        <v>7.1428571428571425E-2</v>
      </c>
      <c r="T43" s="3">
        <f>1</f>
        <v>1</v>
      </c>
    </row>
    <row r="44" spans="1:20">
      <c r="A44" s="4">
        <v>45056.854571759257</v>
      </c>
      <c r="B44" s="3"/>
      <c r="C44" s="3" t="s">
        <v>133</v>
      </c>
      <c r="D44" s="3" t="s">
        <v>16</v>
      </c>
      <c r="E44" s="3" t="s">
        <v>136</v>
      </c>
      <c r="F44" s="3" t="s">
        <v>17</v>
      </c>
      <c r="G44" s="3" t="s">
        <v>18</v>
      </c>
      <c r="H44" s="3" t="s">
        <v>19</v>
      </c>
      <c r="I44" s="3" t="s">
        <v>33</v>
      </c>
      <c r="J44" s="3"/>
      <c r="K44" s="3"/>
      <c r="L44" s="3"/>
      <c r="M44" s="3"/>
      <c r="N44" s="3"/>
      <c r="O44" s="3"/>
      <c r="P44" s="3" t="s">
        <v>102</v>
      </c>
      <c r="Q44" s="5" cm="1">
        <f t="array" ref="Q4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4" s="3" t="s">
        <v>143</v>
      </c>
      <c r="S44" s="7">
        <f>1/COUNTIFS(DATA_TB[To Have Suporte],DATA_TB[[#This Row],[To Have Suporte]])</f>
        <v>9.0909090909090912E-2</v>
      </c>
      <c r="T44" s="3">
        <f>1</f>
        <v>1</v>
      </c>
    </row>
    <row r="45" spans="1:20">
      <c r="A45" s="4">
        <v>45057.674560185187</v>
      </c>
      <c r="B45" s="3"/>
      <c r="C45" s="3" t="s">
        <v>133</v>
      </c>
      <c r="D45" s="3" t="s">
        <v>16</v>
      </c>
      <c r="E45" s="3" t="s">
        <v>138</v>
      </c>
      <c r="F45" s="3" t="s">
        <v>103</v>
      </c>
      <c r="G45" s="3" t="s">
        <v>18</v>
      </c>
      <c r="H45" s="3" t="s">
        <v>60</v>
      </c>
      <c r="I45" s="3" t="s">
        <v>33</v>
      </c>
      <c r="J45" s="3" t="s">
        <v>34</v>
      </c>
      <c r="K45" s="3" t="s">
        <v>104</v>
      </c>
      <c r="L45" s="3" t="s">
        <v>105</v>
      </c>
      <c r="M45" s="3" t="s">
        <v>106</v>
      </c>
      <c r="N45" s="3" t="s">
        <v>107</v>
      </c>
      <c r="O45" s="3" t="s">
        <v>108</v>
      </c>
      <c r="P45" s="3" t="s">
        <v>109</v>
      </c>
      <c r="Q45" s="5" cm="1">
        <f t="array" ref="Q45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5" s="3" t="s">
        <v>146</v>
      </c>
      <c r="S45" s="7">
        <f>1/COUNTIFS(DATA_TB[To Have Suporte],DATA_TB[[#This Row],[To Have Suporte]])</f>
        <v>0.1</v>
      </c>
      <c r="T45" s="3">
        <f>1</f>
        <v>1</v>
      </c>
    </row>
    <row r="46" spans="1:20" ht="27.6">
      <c r="A46" s="4">
        <v>45057.68304398148</v>
      </c>
      <c r="B46" s="3"/>
      <c r="C46" s="3" t="s">
        <v>130</v>
      </c>
      <c r="D46" s="3" t="s">
        <v>26</v>
      </c>
      <c r="E46" s="3" t="s">
        <v>135</v>
      </c>
      <c r="F46" s="3" t="s">
        <v>17</v>
      </c>
      <c r="G46" s="3" t="s">
        <v>55</v>
      </c>
      <c r="H46" s="3" t="s">
        <v>60</v>
      </c>
      <c r="I46" s="3" t="s">
        <v>33</v>
      </c>
      <c r="J46" s="3" t="s">
        <v>34</v>
      </c>
      <c r="K46" s="3" t="s">
        <v>110</v>
      </c>
      <c r="L46" s="3" t="s">
        <v>111</v>
      </c>
      <c r="M46" s="3" t="s">
        <v>112</v>
      </c>
      <c r="N46" s="3" t="s">
        <v>113</v>
      </c>
      <c r="O46" s="3" t="s">
        <v>114</v>
      </c>
      <c r="P46" s="3" t="s">
        <v>115</v>
      </c>
      <c r="Q46" s="5" cm="1">
        <f t="array" ref="Q46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6000</v>
      </c>
      <c r="R46" s="3" t="s">
        <v>143</v>
      </c>
      <c r="S46" s="7">
        <f>1/COUNTIFS(DATA_TB[To Have Suporte],DATA_TB[[#This Row],[To Have Suporte]])</f>
        <v>9.0909090909090912E-2</v>
      </c>
      <c r="T46" s="3">
        <f>1</f>
        <v>1</v>
      </c>
    </row>
    <row r="47" spans="1:20">
      <c r="A47" s="4">
        <v>45057.687939814816</v>
      </c>
      <c r="B47" s="3"/>
      <c r="C47" s="3" t="s">
        <v>133</v>
      </c>
      <c r="D47" s="3" t="s">
        <v>16</v>
      </c>
      <c r="E47" s="3" t="s">
        <v>135</v>
      </c>
      <c r="F47" s="3" t="s">
        <v>17</v>
      </c>
      <c r="G47" s="3" t="s">
        <v>18</v>
      </c>
      <c r="H47" s="3" t="s">
        <v>19</v>
      </c>
      <c r="I47" s="3" t="s">
        <v>33</v>
      </c>
      <c r="J47" s="3"/>
      <c r="K47" s="3"/>
      <c r="L47" s="3"/>
      <c r="M47" s="3"/>
      <c r="N47" s="3"/>
      <c r="O47" s="3"/>
      <c r="P47" s="3" t="s">
        <v>116</v>
      </c>
      <c r="Q47" s="5" cm="1">
        <f t="array" ref="Q47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7" s="3" t="s">
        <v>146</v>
      </c>
      <c r="S47" s="7">
        <f>1/COUNTIFS(DATA_TB[To Have Suporte],DATA_TB[[#This Row],[To Have Suporte]])</f>
        <v>0.1</v>
      </c>
      <c r="T47" s="3">
        <f>1</f>
        <v>1</v>
      </c>
    </row>
    <row r="48" spans="1:20">
      <c r="A48" s="4">
        <v>45057.692384259259</v>
      </c>
      <c r="B48" s="3"/>
      <c r="C48" s="3" t="s">
        <v>133</v>
      </c>
      <c r="D48" s="3" t="s">
        <v>16</v>
      </c>
      <c r="E48" s="3" t="s">
        <v>135</v>
      </c>
      <c r="F48" s="3" t="s">
        <v>17</v>
      </c>
      <c r="G48" s="3" t="s">
        <v>18</v>
      </c>
      <c r="H48" s="3" t="s">
        <v>32</v>
      </c>
      <c r="I48" s="3" t="s">
        <v>33</v>
      </c>
      <c r="J48" s="3" t="s">
        <v>61</v>
      </c>
      <c r="K48" s="3" t="s">
        <v>117</v>
      </c>
      <c r="L48" s="3" t="s">
        <v>118</v>
      </c>
      <c r="M48" s="3" t="s">
        <v>106</v>
      </c>
      <c r="N48" s="3" t="s">
        <v>119</v>
      </c>
      <c r="O48" s="3" t="s">
        <v>120</v>
      </c>
      <c r="P48" s="3" t="s">
        <v>121</v>
      </c>
      <c r="Q48" s="5" cm="1">
        <f t="array" ref="Q48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8" s="3" t="s">
        <v>145</v>
      </c>
      <c r="S48" s="7">
        <f>1/COUNTIFS(DATA_TB[To Have Suporte],DATA_TB[[#This Row],[To Have Suporte]])</f>
        <v>0.16666666666666666</v>
      </c>
      <c r="T48" s="3">
        <f>1</f>
        <v>1</v>
      </c>
    </row>
    <row r="49" spans="1:20">
      <c r="A49" s="4">
        <v>45057.709560185183</v>
      </c>
      <c r="B49" s="3"/>
      <c r="C49" s="3" t="s">
        <v>133</v>
      </c>
      <c r="D49" s="3" t="s">
        <v>16</v>
      </c>
      <c r="E49" s="3" t="s">
        <v>135</v>
      </c>
      <c r="F49" s="3" t="s">
        <v>17</v>
      </c>
      <c r="G49" s="3" t="s">
        <v>18</v>
      </c>
      <c r="H49" s="3" t="s">
        <v>45</v>
      </c>
      <c r="I49" s="3" t="s">
        <v>33</v>
      </c>
      <c r="J49" s="3" t="s">
        <v>61</v>
      </c>
      <c r="K49" s="3" t="s">
        <v>122</v>
      </c>
      <c r="L49" s="3" t="s">
        <v>47</v>
      </c>
      <c r="M49" s="3" t="s">
        <v>123</v>
      </c>
      <c r="N49" s="3" t="s">
        <v>124</v>
      </c>
      <c r="O49" s="3" t="s">
        <v>94</v>
      </c>
      <c r="P49" s="3" t="s">
        <v>125</v>
      </c>
      <c r="Q49" s="5" cm="1">
        <f t="array" ref="Q49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49" s="3" t="s">
        <v>146</v>
      </c>
      <c r="S49" s="7">
        <f>1/COUNTIFS(DATA_TB[To Have Suporte],DATA_TB[[#This Row],[To Have Suporte]])</f>
        <v>0.1</v>
      </c>
      <c r="T49" s="3">
        <f>1</f>
        <v>1</v>
      </c>
    </row>
    <row r="50" spans="1:20">
      <c r="A50" s="4">
        <v>45057.859571759262</v>
      </c>
      <c r="B50" s="3"/>
      <c r="C50" s="3" t="s">
        <v>133</v>
      </c>
      <c r="D50" s="3" t="s">
        <v>16</v>
      </c>
      <c r="E50" s="3" t="s">
        <v>135</v>
      </c>
      <c r="F50" s="3" t="s">
        <v>17</v>
      </c>
      <c r="G50" s="3" t="s">
        <v>18</v>
      </c>
      <c r="H50" s="3" t="s">
        <v>19</v>
      </c>
      <c r="I50" s="3" t="s">
        <v>33</v>
      </c>
      <c r="J50" s="3"/>
      <c r="K50" s="3"/>
      <c r="L50" s="3"/>
      <c r="M50" s="3"/>
      <c r="N50" s="3"/>
      <c r="O50" s="3"/>
      <c r="P50" s="3" t="s">
        <v>126</v>
      </c>
      <c r="Q50" s="5" cm="1">
        <f t="array" ref="Q50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0" s="3" t="s">
        <v>146</v>
      </c>
      <c r="S50" s="7">
        <f>1/COUNTIFS(DATA_TB[To Have Suporte],DATA_TB[[#This Row],[To Have Suporte]])</f>
        <v>0.1</v>
      </c>
      <c r="T50" s="3">
        <f>1</f>
        <v>1</v>
      </c>
    </row>
    <row r="51" spans="1:20">
      <c r="A51" s="4">
        <v>45058.148599537039</v>
      </c>
      <c r="B51" s="3"/>
      <c r="C51" s="3" t="s">
        <v>133</v>
      </c>
      <c r="D51" s="3" t="s">
        <v>16</v>
      </c>
      <c r="E51" s="3" t="s">
        <v>137</v>
      </c>
      <c r="F51" s="3" t="s">
        <v>127</v>
      </c>
      <c r="G51" s="3" t="s">
        <v>18</v>
      </c>
      <c r="H51" s="3" t="s">
        <v>19</v>
      </c>
      <c r="I51" s="3" t="s">
        <v>33</v>
      </c>
      <c r="J51" s="3"/>
      <c r="K51" s="3"/>
      <c r="L51" s="3"/>
      <c r="M51" s="3"/>
      <c r="N51" s="3"/>
      <c r="O51" s="3"/>
      <c r="P51" s="3" t="s">
        <v>128</v>
      </c>
      <c r="Q51" s="5" cm="1">
        <f t="array" ref="Q51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1" s="3" t="s">
        <v>81</v>
      </c>
      <c r="S51" s="7">
        <f>1/COUNTIFS(DATA_TB[To Have Suporte],DATA_TB[[#This Row],[To Have Suporte]])</f>
        <v>7.1428571428571425E-2</v>
      </c>
      <c r="T51" s="3">
        <f>1</f>
        <v>1</v>
      </c>
    </row>
    <row r="52" spans="1:20">
      <c r="A52" s="4">
        <v>45059.762870370374</v>
      </c>
      <c r="B52" s="3"/>
      <c r="C52" s="3" t="s">
        <v>130</v>
      </c>
      <c r="D52" s="3" t="s">
        <v>16</v>
      </c>
      <c r="E52" s="3" t="s">
        <v>135</v>
      </c>
      <c r="F52" s="3" t="s">
        <v>17</v>
      </c>
      <c r="G52" s="3" t="s">
        <v>18</v>
      </c>
      <c r="H52" s="3" t="s">
        <v>19</v>
      </c>
      <c r="I52" s="3" t="s">
        <v>33</v>
      </c>
      <c r="J52" s="3"/>
      <c r="K52" s="3"/>
      <c r="L52" s="3"/>
      <c r="M52" s="3"/>
      <c r="N52" s="3"/>
      <c r="O52" s="3"/>
      <c r="P52" s="3" t="s">
        <v>129</v>
      </c>
      <c r="Q52" s="5" cm="1">
        <f t="array" ref="Q52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9000</v>
      </c>
      <c r="R52" s="3" t="s">
        <v>146</v>
      </c>
      <c r="S52" s="7">
        <f>1/COUNTIFS(DATA_TB[To Have Suporte],DATA_TB[[#This Row],[To Have Suporte]])</f>
        <v>0.1</v>
      </c>
      <c r="T52" s="3">
        <f>1</f>
        <v>1</v>
      </c>
    </row>
    <row r="53" spans="1:20">
      <c r="A53" s="4">
        <v>45067.655555555553</v>
      </c>
      <c r="B53" s="6" t="s">
        <v>139</v>
      </c>
      <c r="C53" s="3" t="s">
        <v>131</v>
      </c>
      <c r="D53" s="3" t="s">
        <v>16</v>
      </c>
      <c r="E53" s="3" t="s">
        <v>135</v>
      </c>
      <c r="F53" s="3" t="s">
        <v>17</v>
      </c>
      <c r="G53" s="3" t="s">
        <v>31</v>
      </c>
      <c r="H53" s="3" t="s">
        <v>19</v>
      </c>
      <c r="I53" s="3" t="s">
        <v>33</v>
      </c>
      <c r="J53" s="3"/>
      <c r="K53" s="3"/>
      <c r="L53" s="3"/>
      <c r="M53" s="3"/>
      <c r="N53" s="3"/>
      <c r="O53" s="3"/>
      <c r="P53" s="3" t="s">
        <v>140</v>
      </c>
      <c r="Q53" s="5" cm="1">
        <f t="array" ref="Q53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3" s="3" t="s">
        <v>143</v>
      </c>
      <c r="S53" s="7">
        <f>1/COUNTIFS(DATA_TB[To Have Suporte],DATA_TB[[#This Row],[To Have Suporte]])</f>
        <v>9.0909090909090912E-2</v>
      </c>
      <c r="T53" s="3">
        <f>1</f>
        <v>1</v>
      </c>
    </row>
    <row r="54" spans="1:20">
      <c r="A54" s="13"/>
      <c r="B54" s="14" t="s">
        <v>163</v>
      </c>
      <c r="C54" s="15">
        <v>25</v>
      </c>
      <c r="D54" s="15" t="s">
        <v>26</v>
      </c>
      <c r="E54" s="15" t="s">
        <v>164</v>
      </c>
      <c r="F54" s="15" t="s">
        <v>158</v>
      </c>
      <c r="G54" s="15" t="s">
        <v>31</v>
      </c>
      <c r="H54" s="15" t="s">
        <v>60</v>
      </c>
      <c r="I54" s="15" t="s">
        <v>159</v>
      </c>
      <c r="J54" s="15" t="s">
        <v>34</v>
      </c>
      <c r="K54" s="15" t="s">
        <v>165</v>
      </c>
      <c r="L54" s="15" t="s">
        <v>166</v>
      </c>
      <c r="M54" s="15" t="s">
        <v>24</v>
      </c>
      <c r="N54" s="15" t="s">
        <v>167</v>
      </c>
      <c r="O54" s="15" t="s">
        <v>168</v>
      </c>
      <c r="P54" s="15" t="s">
        <v>169</v>
      </c>
      <c r="Q54" s="16" cm="1">
        <f t="array" ref="Q54">_xlfn.IFS(DATA_TB[[#This Row],[Qual sua faixa de renda?]]="Até R$ 2.000,00",2000,DATA_TB[[#This Row],[Qual sua faixa de renda?]]="R$ 2.001,00 - R$ 4.000,00",4000,DATA_TB[[#This Row],[Qual sua faixa de renda?]]="R$ 4.001,00 - R$ 6.000,00",6000,DATA_TB[[#This Row],[Qual sua faixa de renda?]]="R$ 6.001,00 - R$ 8.000,00",8000,DATA_TB[[#This Row],[Qual sua faixa de renda?]]="Acima de R$ 8.001,00",9000)</f>
        <v>2000</v>
      </c>
      <c r="R54" s="15"/>
      <c r="S54" s="7" t="e">
        <f>1/COUNTIFS(DATA_TB[To Have Suporte],DATA_TB[[#This Row],[To Have Suporte]])</f>
        <v>#DIV/0!</v>
      </c>
      <c r="T54" s="17">
        <f>1</f>
        <v>1</v>
      </c>
    </row>
    <row r="55" spans="1:20">
      <c r="A55" s="4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5"/>
      <c r="R55" s="3"/>
      <c r="S55" s="7"/>
      <c r="T55" s="3"/>
    </row>
    <row r="56" spans="1:20">
      <c r="A56" s="4"/>
      <c r="B56" s="6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5"/>
      <c r="R56" s="3"/>
      <c r="S56" s="7"/>
      <c r="T56" s="3"/>
    </row>
    <row r="57" spans="1:20">
      <c r="A57" s="4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5"/>
      <c r="R57" s="3"/>
      <c r="S57" s="7"/>
      <c r="T57" s="3"/>
    </row>
    <row r="58" spans="1:20">
      <c r="A58" s="4"/>
      <c r="B58" s="6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5"/>
      <c r="R58" s="3"/>
      <c r="S58" s="7"/>
      <c r="T58" s="3"/>
    </row>
    <row r="59" spans="1:20">
      <c r="A59" s="4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5"/>
      <c r="R59" s="3"/>
      <c r="S59" s="7"/>
      <c r="T59" s="3"/>
    </row>
    <row r="60" spans="1:20">
      <c r="A60" s="4"/>
      <c r="B60" s="6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5"/>
      <c r="R60" s="3"/>
      <c r="S60" s="7"/>
      <c r="T60" s="3"/>
    </row>
    <row r="61" spans="1:20">
      <c r="A61" s="4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5"/>
      <c r="R61" s="3"/>
      <c r="S61" s="7"/>
      <c r="T61" s="3"/>
    </row>
    <row r="62" spans="1:20">
      <c r="A62" s="4"/>
      <c r="B62" s="6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5"/>
      <c r="R62" s="3"/>
      <c r="S62" s="7"/>
      <c r="T62" s="3"/>
    </row>
    <row r="63" spans="1:20">
      <c r="A63" s="4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5"/>
      <c r="R63" s="3"/>
      <c r="S63" s="7"/>
      <c r="T63" s="3"/>
    </row>
    <row r="64" spans="1:20">
      <c r="A64" s="4"/>
      <c r="B64" s="6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5"/>
      <c r="R64" s="3"/>
      <c r="S64" s="7"/>
      <c r="T64" s="3"/>
    </row>
    <row r="65" spans="1:20">
      <c r="A65" s="4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5"/>
      <c r="R65" s="3"/>
      <c r="S65" s="7"/>
      <c r="T65" s="3"/>
    </row>
    <row r="66" spans="1:20">
      <c r="A66" s="4"/>
      <c r="B66" s="6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5"/>
      <c r="R66" s="3"/>
      <c r="S66" s="7"/>
      <c r="T66" s="3"/>
    </row>
    <row r="67" spans="1:20">
      <c r="A67" s="4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5"/>
      <c r="R67" s="3"/>
      <c r="S67" s="7"/>
      <c r="T67" s="3"/>
    </row>
    <row r="68" spans="1:20">
      <c r="A68" s="4"/>
      <c r="B68" s="6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5"/>
      <c r="R68" s="3"/>
      <c r="S68" s="7"/>
      <c r="T68" s="3"/>
    </row>
    <row r="69" spans="1:20">
      <c r="A69" s="4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5"/>
      <c r="R69" s="3"/>
      <c r="S69" s="7"/>
      <c r="T69" s="3"/>
    </row>
    <row r="70" spans="1:20">
      <c r="A70" s="4"/>
      <c r="B70" s="6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5"/>
      <c r="R70" s="3"/>
      <c r="S70" s="7"/>
      <c r="T70" s="3"/>
    </row>
    <row r="71" spans="1:20">
      <c r="A71" s="4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5"/>
      <c r="R71" s="3"/>
      <c r="S71" s="7"/>
      <c r="T71" s="3"/>
    </row>
    <row r="72" spans="1:20">
      <c r="A72" s="4"/>
      <c r="B72" s="6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5"/>
      <c r="R72" s="3"/>
      <c r="S72" s="7"/>
      <c r="T72" s="3"/>
    </row>
    <row r="73" spans="1:20">
      <c r="A73" s="4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5"/>
      <c r="R73" s="3"/>
      <c r="S73" s="7"/>
      <c r="T73" s="3"/>
    </row>
    <row r="74" spans="1:20">
      <c r="A74" s="4"/>
      <c r="B74" s="6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5"/>
      <c r="R74" s="3"/>
      <c r="S74" s="7"/>
      <c r="T74" s="3"/>
    </row>
    <row r="75" spans="1:20">
      <c r="A75" s="4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5"/>
      <c r="R75" s="3"/>
      <c r="S75" s="7"/>
      <c r="T75" s="3"/>
    </row>
    <row r="76" spans="1:20">
      <c r="A76" s="4"/>
      <c r="B76" s="6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5"/>
      <c r="R76" s="3"/>
      <c r="S76" s="7"/>
      <c r="T76" s="3"/>
    </row>
    <row r="77" spans="1:20">
      <c r="A77" s="4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5"/>
      <c r="R77" s="3"/>
      <c r="S77" s="7"/>
      <c r="T77" s="3"/>
    </row>
    <row r="78" spans="1:20">
      <c r="A78" s="4"/>
      <c r="B78" s="6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5"/>
      <c r="R78" s="3"/>
      <c r="S78" s="7"/>
      <c r="T78" s="3"/>
    </row>
    <row r="79" spans="1:20">
      <c r="A79" s="4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5"/>
      <c r="R79" s="3"/>
      <c r="S79" s="7"/>
      <c r="T79" s="3"/>
    </row>
    <row r="80" spans="1:20">
      <c r="A80" s="4"/>
      <c r="B80" s="6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5"/>
      <c r="R80" s="3"/>
      <c r="S80" s="7"/>
      <c r="T80" s="3"/>
    </row>
    <row r="81" spans="1:20">
      <c r="A81" s="4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5"/>
      <c r="R81" s="3"/>
      <c r="S81" s="7"/>
      <c r="T81" s="3"/>
    </row>
    <row r="82" spans="1:20">
      <c r="A82" s="4"/>
      <c r="B82" s="6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5"/>
      <c r="R82" s="3"/>
      <c r="S82" s="7"/>
      <c r="T82" s="3"/>
    </row>
    <row r="83" spans="1:20">
      <c r="A83" s="4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5"/>
      <c r="R83" s="3"/>
      <c r="S83" s="7"/>
      <c r="T83" s="3"/>
    </row>
    <row r="84" spans="1:20">
      <c r="A84" s="4"/>
      <c r="B84" s="6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5"/>
      <c r="R84" s="3"/>
      <c r="S84" s="7"/>
      <c r="T84" s="3"/>
    </row>
    <row r="85" spans="1:20">
      <c r="A85" s="4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5"/>
      <c r="R85" s="3"/>
      <c r="S85" s="7"/>
      <c r="T85" s="3"/>
    </row>
    <row r="86" spans="1:20">
      <c r="A86" s="4"/>
      <c r="B86" s="6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5"/>
      <c r="R86" s="3"/>
      <c r="S86" s="7"/>
      <c r="T86" s="3"/>
    </row>
    <row r="87" spans="1:20">
      <c r="A87" s="4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5"/>
      <c r="R87" s="3"/>
      <c r="S87" s="7"/>
      <c r="T87" s="3"/>
    </row>
    <row r="88" spans="1:20">
      <c r="A88" s="4"/>
      <c r="B88" s="6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5"/>
      <c r="R88" s="3"/>
      <c r="S88" s="7"/>
      <c r="T88" s="3"/>
    </row>
    <row r="89" spans="1:20">
      <c r="A89" s="4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5"/>
      <c r="R89" s="3"/>
      <c r="S89" s="7"/>
      <c r="T89" s="3"/>
    </row>
    <row r="90" spans="1:20">
      <c r="A90" s="4"/>
      <c r="B90" s="6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5"/>
      <c r="R90" s="3"/>
      <c r="S90" s="7"/>
      <c r="T90" s="3"/>
    </row>
    <row r="91" spans="1:20">
      <c r="A91" s="4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5"/>
      <c r="R91" s="3"/>
      <c r="S91" s="7"/>
      <c r="T91" s="3"/>
    </row>
    <row r="92" spans="1:20">
      <c r="A92" s="4"/>
      <c r="B92" s="6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5"/>
      <c r="R92" s="3"/>
      <c r="S92" s="7"/>
      <c r="T92" s="3"/>
    </row>
    <row r="93" spans="1:20">
      <c r="A93" s="4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5"/>
      <c r="R93" s="3"/>
      <c r="S93" s="7"/>
      <c r="T93" s="3"/>
    </row>
    <row r="94" spans="1:20">
      <c r="A94" s="4"/>
      <c r="B94" s="6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5"/>
      <c r="R94" s="3"/>
      <c r="S94" s="7"/>
      <c r="T94" s="3"/>
    </row>
    <row r="95" spans="1:20">
      <c r="A95" s="4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5"/>
      <c r="R95" s="3"/>
      <c r="S95" s="7"/>
      <c r="T95" s="3"/>
    </row>
    <row r="96" spans="1:20">
      <c r="A96" s="4"/>
      <c r="B96" s="6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5"/>
      <c r="R96" s="3"/>
      <c r="S96" s="7"/>
      <c r="T96" s="3"/>
    </row>
    <row r="97" spans="1:20">
      <c r="A97" s="4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5"/>
      <c r="R97" s="3"/>
      <c r="S97" s="7"/>
      <c r="T97" s="3"/>
    </row>
    <row r="98" spans="1:20">
      <c r="A98" s="4"/>
      <c r="B98" s="6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5"/>
      <c r="R98" s="3"/>
      <c r="S98" s="7"/>
      <c r="T98" s="3"/>
    </row>
    <row r="99" spans="1:20">
      <c r="A99" s="4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5"/>
      <c r="R99" s="3"/>
      <c r="S99" s="7"/>
      <c r="T99" s="3"/>
    </row>
    <row r="100" spans="1:20">
      <c r="A100" s="4"/>
      <c r="B100" s="6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5"/>
      <c r="R100" s="3"/>
      <c r="S100" s="7"/>
      <c r="T100" s="3"/>
    </row>
    <row r="101" spans="1:20">
      <c r="A101" s="4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5"/>
      <c r="R101" s="3"/>
      <c r="S101" s="7"/>
      <c r="T101" s="3"/>
    </row>
    <row r="102" spans="1:20">
      <c r="A102" s="4"/>
      <c r="B102" s="6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5"/>
      <c r="R102" s="3"/>
      <c r="S102" s="7"/>
      <c r="T102" s="3"/>
    </row>
    <row r="103" spans="1:20">
      <c r="A103" s="4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5"/>
      <c r="R103" s="3"/>
      <c r="S103" s="7"/>
      <c r="T103" s="3"/>
    </row>
    <row r="104" spans="1:20">
      <c r="A104" s="4"/>
      <c r="B104" s="6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5"/>
      <c r="R104" s="3"/>
      <c r="S104" s="7"/>
      <c r="T104" s="3"/>
    </row>
    <row r="105" spans="1:20">
      <c r="A105" s="4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5"/>
      <c r="R105" s="3"/>
      <c r="S105" s="7"/>
      <c r="T105" s="3"/>
    </row>
    <row r="106" spans="1:20">
      <c r="A106" s="4"/>
      <c r="B106" s="6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5"/>
      <c r="R106" s="3"/>
      <c r="S106" s="7"/>
      <c r="T106" s="3"/>
    </row>
    <row r="107" spans="1:20">
      <c r="A107" s="4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5"/>
      <c r="R107" s="3"/>
      <c r="S107" s="7"/>
      <c r="T107" s="3"/>
    </row>
    <row r="108" spans="1:20">
      <c r="A108" s="4"/>
      <c r="B108" s="6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5"/>
      <c r="R108" s="3"/>
      <c r="S108" s="7"/>
      <c r="T108" s="3"/>
    </row>
    <row r="109" spans="1:20">
      <c r="A109" s="4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5"/>
      <c r="R109" s="3"/>
      <c r="S109" s="7"/>
      <c r="T109" s="3"/>
    </row>
    <row r="110" spans="1:20">
      <c r="A110" s="4"/>
      <c r="B110" s="6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5"/>
      <c r="R110" s="3"/>
      <c r="S110" s="7"/>
      <c r="T110" s="3"/>
    </row>
    <row r="111" spans="1:20">
      <c r="A111" s="4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5"/>
      <c r="R111" s="3"/>
      <c r="S111" s="7"/>
      <c r="T111" s="3"/>
    </row>
    <row r="112" spans="1:20">
      <c r="A112" s="4"/>
      <c r="B112" s="6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5"/>
      <c r="R112" s="3"/>
      <c r="S112" s="7"/>
      <c r="T112" s="3"/>
    </row>
    <row r="113" spans="1:20">
      <c r="A113" s="4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5"/>
      <c r="R113" s="3"/>
      <c r="S113" s="7"/>
      <c r="T113" s="3"/>
    </row>
    <row r="114" spans="1:20">
      <c r="A114" s="4"/>
      <c r="B114" s="6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5"/>
      <c r="R114" s="3"/>
      <c r="S114" s="7"/>
      <c r="T114" s="3"/>
    </row>
    <row r="115" spans="1:20">
      <c r="A115" s="4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5"/>
      <c r="R115" s="3"/>
      <c r="S115" s="7"/>
      <c r="T115" s="3"/>
    </row>
    <row r="116" spans="1:20">
      <c r="A116" s="4"/>
      <c r="B116" s="6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5"/>
      <c r="R116" s="3"/>
      <c r="S116" s="7"/>
      <c r="T116" s="3"/>
    </row>
    <row r="117" spans="1:20">
      <c r="A117" s="4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5"/>
      <c r="R117" s="3"/>
      <c r="S117" s="7"/>
      <c r="T117" s="3"/>
    </row>
    <row r="118" spans="1:20">
      <c r="A118" s="4"/>
      <c r="B118" s="6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5"/>
      <c r="R118" s="3"/>
      <c r="S118" s="7"/>
      <c r="T118" s="3"/>
    </row>
    <row r="119" spans="1:20">
      <c r="A119" s="4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5"/>
      <c r="R119" s="3"/>
      <c r="S119" s="7"/>
      <c r="T119" s="3"/>
    </row>
    <row r="120" spans="1:20">
      <c r="A120" s="4"/>
      <c r="B120" s="6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5"/>
      <c r="R120" s="3"/>
      <c r="S120" s="7"/>
      <c r="T120" s="3"/>
    </row>
    <row r="121" spans="1:20">
      <c r="A121" s="4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5"/>
      <c r="R121" s="3"/>
      <c r="S121" s="7"/>
      <c r="T121" s="3"/>
    </row>
    <row r="122" spans="1:20">
      <c r="A122" s="4"/>
      <c r="B122" s="6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5"/>
      <c r="R122" s="3"/>
      <c r="S122" s="7"/>
      <c r="T122" s="3"/>
    </row>
    <row r="123" spans="1:20">
      <c r="A123" s="4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5"/>
      <c r="R123" s="3"/>
      <c r="S123" s="7"/>
      <c r="T123" s="3"/>
    </row>
    <row r="124" spans="1:20">
      <c r="A124" s="4"/>
      <c r="B124" s="6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5"/>
      <c r="R124" s="3"/>
      <c r="S124" s="7"/>
      <c r="T124" s="3"/>
    </row>
    <row r="125" spans="1:20">
      <c r="A125" s="4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5"/>
      <c r="R125" s="3"/>
      <c r="S125" s="7"/>
      <c r="T125" s="3"/>
    </row>
    <row r="126" spans="1:20">
      <c r="A126" s="4"/>
      <c r="B126" s="6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5"/>
      <c r="R126" s="3"/>
      <c r="S126" s="7"/>
      <c r="T126" s="3"/>
    </row>
    <row r="127" spans="1:20">
      <c r="A127" s="4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5"/>
      <c r="R127" s="3"/>
      <c r="S127" s="7"/>
      <c r="T127" s="3"/>
    </row>
    <row r="128" spans="1:20">
      <c r="A128" s="4"/>
      <c r="B128" s="6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5"/>
      <c r="R128" s="3"/>
      <c r="S128" s="7"/>
      <c r="T128" s="3"/>
    </row>
    <row r="129" spans="1:20">
      <c r="A129" s="4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5"/>
      <c r="R129" s="3"/>
      <c r="S129" s="7"/>
      <c r="T129" s="3"/>
    </row>
    <row r="130" spans="1:20">
      <c r="A130" s="4"/>
      <c r="B130" s="6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5"/>
      <c r="R130" s="3"/>
      <c r="S130" s="7"/>
      <c r="T130" s="3"/>
    </row>
    <row r="131" spans="1:20">
      <c r="A131" s="4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5"/>
      <c r="R131" s="3"/>
      <c r="S131" s="7"/>
      <c r="T131" s="3"/>
    </row>
    <row r="132" spans="1:20">
      <c r="A132" s="4"/>
      <c r="B132" s="6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5"/>
      <c r="R132" s="3"/>
      <c r="S132" s="7"/>
      <c r="T132" s="3"/>
    </row>
    <row r="133" spans="1:20">
      <c r="A133" s="4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5"/>
      <c r="R133" s="3"/>
      <c r="S133" s="7"/>
      <c r="T133" s="3"/>
    </row>
    <row r="134" spans="1:20">
      <c r="A134" s="4"/>
      <c r="B134" s="6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5"/>
      <c r="R134" s="3"/>
      <c r="S134" s="7"/>
      <c r="T134" s="3"/>
    </row>
    <row r="135" spans="1:20">
      <c r="A135" s="4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5"/>
      <c r="R135" s="3"/>
      <c r="S135" s="7"/>
      <c r="T135" s="3"/>
    </row>
    <row r="136" spans="1:20">
      <c r="A136" s="4"/>
      <c r="B136" s="6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5"/>
      <c r="R136" s="3"/>
      <c r="S136" s="7"/>
      <c r="T136" s="3"/>
    </row>
    <row r="137" spans="1:20">
      <c r="A137" s="4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5"/>
      <c r="R137" s="3"/>
      <c r="S137" s="7"/>
      <c r="T137" s="3"/>
    </row>
    <row r="138" spans="1:20">
      <c r="A138" s="4"/>
      <c r="B138" s="6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5"/>
      <c r="R138" s="3"/>
      <c r="S138" s="7"/>
      <c r="T138" s="3"/>
    </row>
    <row r="139" spans="1:20">
      <c r="A139" s="4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5"/>
      <c r="R139" s="3"/>
      <c r="S139" s="7"/>
      <c r="T139" s="3"/>
    </row>
    <row r="140" spans="1:20">
      <c r="A140" s="4"/>
      <c r="B140" s="6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5"/>
      <c r="R140" s="3"/>
      <c r="S140" s="7"/>
      <c r="T140" s="3"/>
    </row>
    <row r="141" spans="1:20">
      <c r="A141" s="4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5"/>
      <c r="R141" s="3"/>
      <c r="S141" s="7"/>
      <c r="T141" s="3"/>
    </row>
    <row r="142" spans="1:20">
      <c r="A142" s="4"/>
      <c r="B142" s="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5"/>
      <c r="R142" s="3"/>
      <c r="S142" s="7"/>
      <c r="T142" s="3"/>
    </row>
    <row r="143" spans="1:20">
      <c r="A143" s="4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5"/>
      <c r="R143" s="3"/>
      <c r="S143" s="7"/>
      <c r="T143" s="3"/>
    </row>
    <row r="144" spans="1:20">
      <c r="A144" s="4"/>
      <c r="B144" s="6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5"/>
      <c r="R144" s="3"/>
      <c r="S144" s="7"/>
      <c r="T144" s="3"/>
    </row>
    <row r="145" spans="1:20">
      <c r="A145" s="4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5"/>
      <c r="R145" s="3"/>
      <c r="S145" s="7"/>
      <c r="T145" s="3"/>
    </row>
    <row r="146" spans="1:20">
      <c r="A146" s="4"/>
      <c r="B146" s="6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5"/>
      <c r="R146" s="3"/>
      <c r="S146" s="7"/>
      <c r="T146" s="3"/>
    </row>
    <row r="147" spans="1:20">
      <c r="A147" s="4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5"/>
      <c r="R147" s="3"/>
      <c r="S147" s="7"/>
      <c r="T147" s="3"/>
    </row>
    <row r="148" spans="1:20">
      <c r="A148" s="4"/>
      <c r="B148" s="6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5"/>
      <c r="R148" s="3"/>
      <c r="S148" s="7"/>
      <c r="T148" s="3"/>
    </row>
    <row r="149" spans="1:20">
      <c r="A149" s="4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5"/>
      <c r="R149" s="3"/>
      <c r="S149" s="7"/>
      <c r="T149" s="3"/>
    </row>
    <row r="150" spans="1:20">
      <c r="A150" s="4"/>
      <c r="B150" s="6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5"/>
      <c r="R150" s="3"/>
      <c r="S150" s="7"/>
      <c r="T150" s="3"/>
    </row>
    <row r="151" spans="1:20">
      <c r="A151" s="4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5"/>
      <c r="R151" s="3"/>
      <c r="S151" s="7"/>
      <c r="T151" s="3"/>
    </row>
    <row r="152" spans="1:20">
      <c r="A152" s="4"/>
      <c r="B152" s="6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5"/>
      <c r="R152" s="3"/>
      <c r="S152" s="7"/>
      <c r="T152" s="3"/>
    </row>
    <row r="153" spans="1:20">
      <c r="A153" s="4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5"/>
      <c r="R153" s="3"/>
      <c r="S153" s="7"/>
      <c r="T153" s="3"/>
    </row>
    <row r="154" spans="1:20">
      <c r="A154" s="4"/>
      <c r="B154" s="6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5"/>
      <c r="R154" s="3"/>
      <c r="S154" s="7"/>
      <c r="T154" s="3"/>
    </row>
    <row r="155" spans="1:20">
      <c r="A155" s="4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5"/>
      <c r="R155" s="3"/>
      <c r="S155" s="7"/>
      <c r="T155" s="3"/>
    </row>
    <row r="156" spans="1:20">
      <c r="A156" s="4"/>
      <c r="B156" s="6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5"/>
      <c r="R156" s="3"/>
      <c r="S156" s="7"/>
      <c r="T156" s="3"/>
    </row>
    <row r="157" spans="1:20">
      <c r="A157" s="4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5"/>
      <c r="R157" s="3"/>
      <c r="S157" s="7"/>
      <c r="T157" s="3"/>
    </row>
    <row r="158" spans="1:20">
      <c r="A158" s="4"/>
      <c r="B158" s="6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5"/>
      <c r="R158" s="3"/>
      <c r="S158" s="7"/>
      <c r="T158" s="3"/>
    </row>
    <row r="159" spans="1:20">
      <c r="A159" s="4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5"/>
      <c r="R159" s="3"/>
      <c r="S159" s="7"/>
      <c r="T159" s="3"/>
    </row>
    <row r="160" spans="1:20">
      <c r="A160" s="4"/>
      <c r="B160" s="6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5"/>
      <c r="R160" s="3"/>
      <c r="S160" s="7"/>
      <c r="T160" s="3"/>
    </row>
    <row r="161" spans="1:20">
      <c r="A161" s="4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5"/>
      <c r="R161" s="3"/>
      <c r="S161" s="7"/>
      <c r="T161" s="3"/>
    </row>
    <row r="162" spans="1:20">
      <c r="A162" s="4"/>
      <c r="B162" s="6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5"/>
      <c r="R162" s="3"/>
      <c r="S162" s="7"/>
      <c r="T162" s="3"/>
    </row>
    <row r="163" spans="1:20">
      <c r="A163" s="4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5"/>
      <c r="R163" s="3"/>
      <c r="S163" s="7"/>
      <c r="T163" s="3"/>
    </row>
    <row r="164" spans="1:20">
      <c r="A164" s="4"/>
      <c r="B164" s="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5"/>
      <c r="R164" s="3"/>
      <c r="S164" s="7"/>
      <c r="T164" s="3"/>
    </row>
    <row r="165" spans="1:20">
      <c r="A165" s="4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5"/>
      <c r="R165" s="3"/>
      <c r="S165" s="7"/>
      <c r="T165" s="3"/>
    </row>
    <row r="166" spans="1:20">
      <c r="A166" s="4"/>
      <c r="B166" s="6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5"/>
      <c r="R166" s="3"/>
      <c r="S166" s="7"/>
      <c r="T166" s="3"/>
    </row>
    <row r="167" spans="1:20">
      <c r="A167" s="4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5"/>
      <c r="R167" s="3"/>
      <c r="S167" s="7"/>
      <c r="T167" s="3"/>
    </row>
    <row r="168" spans="1:20">
      <c r="A168" s="4"/>
      <c r="B168" s="6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5"/>
      <c r="R168" s="3"/>
      <c r="S168" s="7"/>
      <c r="T168" s="3"/>
    </row>
    <row r="169" spans="1:20">
      <c r="A169" s="4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5"/>
      <c r="R169" s="3"/>
      <c r="S169" s="7"/>
      <c r="T169" s="3"/>
    </row>
    <row r="170" spans="1:20">
      <c r="A170" s="4"/>
      <c r="B170" s="6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5"/>
      <c r="R170" s="3"/>
      <c r="S170" s="7"/>
      <c r="T170" s="3"/>
    </row>
    <row r="171" spans="1:20">
      <c r="A171" s="4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5"/>
      <c r="R171" s="3"/>
      <c r="S171" s="7"/>
      <c r="T171" s="3"/>
    </row>
    <row r="172" spans="1:20">
      <c r="A172" s="4"/>
      <c r="B172" s="6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5"/>
      <c r="R172" s="3"/>
      <c r="S172" s="7"/>
      <c r="T172" s="3"/>
    </row>
    <row r="173" spans="1:20">
      <c r="A173" s="4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5"/>
      <c r="R173" s="3"/>
      <c r="S173" s="7"/>
      <c r="T173" s="3"/>
    </row>
    <row r="174" spans="1:20">
      <c r="A174" s="4"/>
      <c r="B174" s="6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5"/>
      <c r="R174" s="3"/>
      <c r="S174" s="7"/>
      <c r="T174" s="3"/>
    </row>
    <row r="175" spans="1:20">
      <c r="A175" s="4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5"/>
      <c r="R175" s="3"/>
      <c r="S175" s="7"/>
      <c r="T175" s="3"/>
    </row>
    <row r="176" spans="1:20">
      <c r="A176" s="4"/>
      <c r="B176" s="6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5"/>
      <c r="R176" s="3"/>
      <c r="S176" s="7"/>
      <c r="T176" s="3"/>
    </row>
    <row r="177" spans="1:20">
      <c r="A177" s="4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5"/>
      <c r="R177" s="3"/>
      <c r="S177" s="7"/>
      <c r="T177" s="3"/>
    </row>
    <row r="178" spans="1:20">
      <c r="A178" s="4"/>
      <c r="B178" s="6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5"/>
      <c r="R178" s="3"/>
      <c r="S178" s="7"/>
      <c r="T178" s="3"/>
    </row>
    <row r="179" spans="1:20">
      <c r="A179" s="4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5"/>
      <c r="R179" s="3"/>
      <c r="S179" s="7"/>
      <c r="T179" s="3"/>
    </row>
    <row r="180" spans="1:20">
      <c r="A180" s="4"/>
      <c r="B180" s="6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5"/>
      <c r="R180" s="3"/>
      <c r="S180" s="7"/>
      <c r="T180" s="3"/>
    </row>
    <row r="181" spans="1:20">
      <c r="A181" s="4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5"/>
      <c r="R181" s="3"/>
      <c r="S181" s="7"/>
      <c r="T181" s="3"/>
    </row>
    <row r="182" spans="1:20">
      <c r="A182" s="4"/>
      <c r="B182" s="6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5"/>
      <c r="R182" s="3"/>
      <c r="S182" s="7"/>
      <c r="T182" s="3"/>
    </row>
    <row r="183" spans="1:20">
      <c r="A183" s="4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5"/>
      <c r="R183" s="3"/>
      <c r="S183" s="7"/>
      <c r="T183" s="3"/>
    </row>
    <row r="184" spans="1:20">
      <c r="A184" s="4"/>
      <c r="B184" s="6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5"/>
      <c r="R184" s="3"/>
      <c r="S184" s="7"/>
      <c r="T184" s="3"/>
    </row>
    <row r="185" spans="1:20">
      <c r="A185" s="4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5"/>
      <c r="R185" s="3"/>
      <c r="S185" s="7"/>
      <c r="T185" s="3"/>
    </row>
    <row r="186" spans="1:20">
      <c r="A186" s="4"/>
      <c r="B186" s="6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5"/>
      <c r="R186" s="3"/>
      <c r="S186" s="7"/>
      <c r="T186" s="3"/>
    </row>
    <row r="187" spans="1:20">
      <c r="A187" s="4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5"/>
      <c r="R187" s="3"/>
      <c r="S187" s="7"/>
      <c r="T187" s="3"/>
    </row>
    <row r="188" spans="1:20">
      <c r="A188" s="4"/>
      <c r="B188" s="6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5"/>
      <c r="R188" s="3"/>
      <c r="S188" s="7"/>
      <c r="T188" s="3"/>
    </row>
    <row r="189" spans="1:20">
      <c r="A189" s="4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5"/>
      <c r="R189" s="3"/>
      <c r="S189" s="7"/>
      <c r="T189" s="3"/>
    </row>
    <row r="190" spans="1:20">
      <c r="A190" s="4"/>
      <c r="B190" s="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5"/>
      <c r="R190" s="3"/>
      <c r="S190" s="7"/>
      <c r="T190" s="3"/>
    </row>
    <row r="191" spans="1:20">
      <c r="A191" s="4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5"/>
      <c r="R191" s="3"/>
      <c r="S191" s="7"/>
      <c r="T191" s="3"/>
    </row>
    <row r="192" spans="1:20">
      <c r="A192" s="4"/>
      <c r="B192" s="6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5"/>
      <c r="R192" s="3"/>
      <c r="S192" s="7"/>
      <c r="T192" s="3"/>
    </row>
    <row r="193" spans="1:20">
      <c r="A193" s="4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5"/>
      <c r="R193" s="3"/>
      <c r="S193" s="7"/>
      <c r="T193" s="3"/>
    </row>
    <row r="194" spans="1:20">
      <c r="A194" s="4"/>
      <c r="B194" s="6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5"/>
      <c r="R194" s="3"/>
      <c r="S194" s="7"/>
      <c r="T194" s="3"/>
    </row>
    <row r="195" spans="1:20">
      <c r="A195" s="4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5"/>
      <c r="R195" s="3"/>
      <c r="S195" s="7"/>
      <c r="T195" s="3"/>
    </row>
    <row r="196" spans="1:20">
      <c r="A196" s="4"/>
      <c r="B196" s="6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5"/>
      <c r="R196" s="3"/>
      <c r="S196" s="7"/>
      <c r="T196" s="3"/>
    </row>
    <row r="197" spans="1:20">
      <c r="A197" s="4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5"/>
      <c r="R197" s="3"/>
      <c r="S197" s="7"/>
      <c r="T197" s="3"/>
    </row>
    <row r="198" spans="1:20">
      <c r="A198" s="4"/>
      <c r="B198" s="6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5"/>
      <c r="R198" s="3"/>
      <c r="S198" s="7"/>
      <c r="T198" s="3"/>
    </row>
    <row r="199" spans="1:20">
      <c r="A199" s="4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5"/>
      <c r="R199" s="3"/>
      <c r="S199" s="7"/>
      <c r="T199" s="3"/>
    </row>
    <row r="200" spans="1:20">
      <c r="A200" s="4"/>
      <c r="B200" s="6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5"/>
      <c r="R200" s="3"/>
      <c r="S200" s="7"/>
      <c r="T200" s="3"/>
    </row>
    <row r="201" spans="1:20">
      <c r="A201" s="4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5"/>
      <c r="R201" s="3"/>
      <c r="S201" s="7"/>
      <c r="T201" s="3"/>
    </row>
    <row r="202" spans="1:20">
      <c r="A202" s="4"/>
      <c r="B202" s="6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5"/>
      <c r="R202" s="3"/>
      <c r="S202" s="7"/>
      <c r="T202" s="3"/>
    </row>
    <row r="203" spans="1:20">
      <c r="A203" s="4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5"/>
      <c r="R203" s="3"/>
      <c r="S203" s="7"/>
      <c r="T203" s="3"/>
    </row>
    <row r="204" spans="1:20">
      <c r="A204" s="4"/>
      <c r="B204" s="6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5"/>
      <c r="R204" s="3"/>
      <c r="S204" s="7"/>
      <c r="T204" s="3"/>
    </row>
    <row r="205" spans="1:20">
      <c r="A205" s="4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5"/>
      <c r="R205" s="3"/>
      <c r="S205" s="7"/>
      <c r="T205" s="3"/>
    </row>
    <row r="206" spans="1:20">
      <c r="A206" s="4"/>
      <c r="B206" s="6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5"/>
      <c r="R206" s="3"/>
      <c r="S206" s="7"/>
      <c r="T206" s="3"/>
    </row>
    <row r="207" spans="1:20">
      <c r="A207" s="4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5"/>
      <c r="R207" s="3"/>
      <c r="S207" s="7"/>
      <c r="T207" s="3"/>
    </row>
    <row r="208" spans="1:20">
      <c r="A208" s="4"/>
      <c r="B208" s="6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5"/>
      <c r="R208" s="3"/>
      <c r="S208" s="7"/>
      <c r="T208" s="3"/>
    </row>
    <row r="209" spans="1:20">
      <c r="A209" s="4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5"/>
      <c r="R209" s="3"/>
      <c r="S209" s="7"/>
      <c r="T209" s="3"/>
    </row>
    <row r="210" spans="1:20">
      <c r="A210" s="4"/>
      <c r="B210" s="6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5"/>
      <c r="R210" s="3"/>
      <c r="S210" s="7"/>
      <c r="T210" s="3"/>
    </row>
    <row r="211" spans="1:20">
      <c r="A211" s="4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5"/>
      <c r="R211" s="3"/>
      <c r="S211" s="7"/>
      <c r="T211" s="3"/>
    </row>
    <row r="212" spans="1:20">
      <c r="A212" s="4"/>
      <c r="B212" s="6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5"/>
      <c r="R212" s="3"/>
      <c r="S212" s="7"/>
      <c r="T212" s="3"/>
    </row>
    <row r="213" spans="1:20">
      <c r="A213" s="4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5"/>
      <c r="R213" s="3"/>
      <c r="S213" s="7"/>
      <c r="T213" s="3"/>
    </row>
    <row r="214" spans="1:20">
      <c r="A214" s="4"/>
      <c r="B214" s="6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5"/>
      <c r="R214" s="3"/>
      <c r="S214" s="7"/>
      <c r="T214" s="3"/>
    </row>
    <row r="215" spans="1:20">
      <c r="A215" s="4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5"/>
      <c r="R215" s="3"/>
      <c r="S215" s="7"/>
      <c r="T215" s="3"/>
    </row>
    <row r="216" spans="1:20">
      <c r="A216" s="4"/>
      <c r="B216" s="6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5"/>
      <c r="R216" s="3"/>
      <c r="S216" s="7"/>
      <c r="T216" s="3"/>
    </row>
    <row r="217" spans="1:20">
      <c r="A217" s="4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5"/>
      <c r="R217" s="3"/>
      <c r="S217" s="7"/>
      <c r="T217" s="3"/>
    </row>
    <row r="218" spans="1:20">
      <c r="A218" s="4"/>
      <c r="B218" s="6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5"/>
      <c r="R218" s="3"/>
      <c r="S218" s="7"/>
      <c r="T218" s="3"/>
    </row>
    <row r="219" spans="1:20">
      <c r="A219" s="4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5"/>
      <c r="R219" s="3"/>
      <c r="S219" s="7"/>
      <c r="T219" s="3"/>
    </row>
    <row r="220" spans="1:20">
      <c r="A220" s="4"/>
      <c r="B220" s="6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5"/>
      <c r="R220" s="3"/>
      <c r="S220" s="7"/>
      <c r="T220" s="3"/>
    </row>
    <row r="221" spans="1:20">
      <c r="A221" s="4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5"/>
      <c r="R221" s="3"/>
      <c r="S221" s="7"/>
      <c r="T221" s="3"/>
    </row>
    <row r="222" spans="1:20">
      <c r="A222" s="4"/>
      <c r="B222" s="6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5"/>
      <c r="R222" s="3"/>
      <c r="S222" s="7"/>
      <c r="T222" s="3"/>
    </row>
    <row r="223" spans="1:20">
      <c r="A223" s="4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5"/>
      <c r="R223" s="3"/>
      <c r="S223" s="7"/>
      <c r="T223" s="3"/>
    </row>
    <row r="224" spans="1:20">
      <c r="A224" s="4"/>
      <c r="B224" s="6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5"/>
      <c r="R224" s="3"/>
      <c r="S224" s="7"/>
      <c r="T224" s="3"/>
    </row>
    <row r="225" spans="1:20">
      <c r="A225" s="4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5"/>
      <c r="R225" s="3"/>
      <c r="S225" s="7"/>
      <c r="T225" s="3"/>
    </row>
    <row r="226" spans="1:20">
      <c r="A226" s="4"/>
      <c r="B226" s="6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5"/>
      <c r="R226" s="3"/>
      <c r="S226" s="7"/>
      <c r="T226" s="3"/>
    </row>
    <row r="227" spans="1:20">
      <c r="A227" s="4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5"/>
      <c r="R227" s="3"/>
      <c r="S227" s="7"/>
      <c r="T227" s="3"/>
    </row>
    <row r="228" spans="1:20">
      <c r="A228" s="4"/>
      <c r="B228" s="6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5"/>
      <c r="R228" s="3"/>
      <c r="S228" s="7"/>
      <c r="T228" s="3"/>
    </row>
    <row r="229" spans="1:20">
      <c r="A229" s="4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5"/>
      <c r="R229" s="3"/>
      <c r="S229" s="7"/>
      <c r="T229" s="3"/>
    </row>
    <row r="230" spans="1:20">
      <c r="A230" s="4"/>
      <c r="B230" s="6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5"/>
      <c r="R230" s="3"/>
      <c r="S230" s="7"/>
      <c r="T230" s="3"/>
    </row>
    <row r="231" spans="1:20">
      <c r="A231" s="4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5"/>
      <c r="R231" s="3"/>
      <c r="S231" s="7"/>
      <c r="T231" s="3"/>
    </row>
    <row r="232" spans="1:20">
      <c r="A232" s="4"/>
      <c r="B232" s="6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5"/>
      <c r="R232" s="3"/>
      <c r="S232" s="7"/>
      <c r="T232" s="3"/>
    </row>
    <row r="233" spans="1:20">
      <c r="A233" s="4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5"/>
      <c r="R233" s="3"/>
      <c r="S233" s="7"/>
      <c r="T233" s="3"/>
    </row>
    <row r="234" spans="1:20">
      <c r="A234" s="4"/>
      <c r="B234" s="6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5"/>
      <c r="R234" s="3"/>
      <c r="S234" s="7"/>
      <c r="T234" s="3"/>
    </row>
    <row r="235" spans="1:20">
      <c r="A235" s="4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5"/>
      <c r="R235" s="3"/>
      <c r="S235" s="7"/>
      <c r="T235" s="3"/>
    </row>
    <row r="236" spans="1:20">
      <c r="A236" s="4"/>
      <c r="B236" s="6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5"/>
      <c r="R236" s="3"/>
      <c r="S236" s="7"/>
      <c r="T236" s="3"/>
    </row>
    <row r="237" spans="1:20">
      <c r="A237" s="4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5"/>
      <c r="R237" s="3"/>
      <c r="S237" s="7"/>
      <c r="T237" s="3"/>
    </row>
    <row r="238" spans="1:20">
      <c r="A238" s="4"/>
      <c r="B238" s="6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5"/>
      <c r="R238" s="3"/>
      <c r="S238" s="7"/>
      <c r="T238" s="3"/>
    </row>
    <row r="239" spans="1:20">
      <c r="A239" s="4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5"/>
      <c r="R239" s="3"/>
      <c r="S239" s="7"/>
      <c r="T239" s="3"/>
    </row>
    <row r="240" spans="1:20">
      <c r="A240" s="4"/>
      <c r="B240" s="6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5"/>
      <c r="R240" s="3"/>
      <c r="S240" s="7"/>
      <c r="T240" s="3"/>
    </row>
    <row r="241" spans="1:20">
      <c r="A241" s="4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5"/>
      <c r="R241" s="3"/>
      <c r="S241" s="7"/>
      <c r="T241" s="3"/>
    </row>
    <row r="242" spans="1:20">
      <c r="A242" s="4"/>
      <c r="B242" s="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5"/>
      <c r="R242" s="3"/>
      <c r="S242" s="7"/>
      <c r="T242" s="3"/>
    </row>
    <row r="243" spans="1:20">
      <c r="A243" s="4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5"/>
      <c r="R243" s="3"/>
      <c r="S243" s="7"/>
      <c r="T243" s="3"/>
    </row>
    <row r="244" spans="1:20">
      <c r="A244" s="4"/>
      <c r="B244" s="6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5"/>
      <c r="R244" s="3"/>
      <c r="S244" s="7"/>
      <c r="T244" s="3"/>
    </row>
    <row r="245" spans="1:20">
      <c r="A245" s="4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5"/>
      <c r="R245" s="3"/>
      <c r="S245" s="7"/>
      <c r="T245" s="3"/>
    </row>
    <row r="246" spans="1:20">
      <c r="A246" s="4"/>
      <c r="B246" s="6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5"/>
      <c r="R246" s="3"/>
      <c r="S246" s="7"/>
      <c r="T246" s="3"/>
    </row>
    <row r="247" spans="1:20">
      <c r="A247" s="4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5"/>
      <c r="R247" s="3"/>
      <c r="S247" s="7"/>
      <c r="T247" s="3"/>
    </row>
    <row r="248" spans="1:20">
      <c r="A248" s="4"/>
      <c r="B248" s="6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5"/>
      <c r="R248" s="3"/>
      <c r="S248" s="7"/>
      <c r="T248" s="3"/>
    </row>
    <row r="249" spans="1:20">
      <c r="A249" s="4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5"/>
      <c r="R249" s="3"/>
      <c r="S249" s="7"/>
      <c r="T249" s="3"/>
    </row>
    <row r="250" spans="1:20">
      <c r="A250" s="4"/>
      <c r="B250" s="6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5"/>
      <c r="R250" s="3"/>
      <c r="S250" s="7"/>
      <c r="T250" s="3"/>
    </row>
    <row r="251" spans="1:20">
      <c r="A251" s="4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5"/>
      <c r="R251" s="3"/>
      <c r="S251" s="7"/>
      <c r="T251" s="3"/>
    </row>
    <row r="252" spans="1:20">
      <c r="A252" s="4"/>
      <c r="B252" s="6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5"/>
      <c r="R252" s="3"/>
      <c r="S252" s="7"/>
      <c r="T252" s="3"/>
    </row>
    <row r="253" spans="1:20">
      <c r="A253" s="4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5"/>
      <c r="R253" s="3"/>
      <c r="S253" s="7"/>
      <c r="T253" s="3"/>
    </row>
    <row r="254" spans="1:20">
      <c r="A254" s="4"/>
      <c r="B254" s="6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5"/>
      <c r="R254" s="3"/>
      <c r="S254" s="7"/>
      <c r="T254" s="3"/>
    </row>
    <row r="255" spans="1:20">
      <c r="A255" s="4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5"/>
      <c r="R255" s="3"/>
      <c r="S255" s="7"/>
      <c r="T255" s="3"/>
    </row>
    <row r="256" spans="1:20">
      <c r="A256" s="4"/>
      <c r="B256" s="6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5"/>
      <c r="R256" s="3"/>
      <c r="S256" s="7"/>
      <c r="T256" s="3"/>
    </row>
    <row r="257" spans="1:20">
      <c r="A257" s="4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5"/>
      <c r="R257" s="3"/>
      <c r="S257" s="7"/>
      <c r="T257" s="3"/>
    </row>
    <row r="258" spans="1:20">
      <c r="A258" s="4"/>
      <c r="B258" s="6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5"/>
      <c r="R258" s="3"/>
      <c r="S258" s="7"/>
      <c r="T258" s="3"/>
    </row>
    <row r="259" spans="1:20">
      <c r="A259" s="4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5"/>
      <c r="R259" s="3"/>
      <c r="S259" s="7"/>
      <c r="T259" s="3"/>
    </row>
    <row r="260" spans="1:20">
      <c r="A260" s="4"/>
      <c r="B260" s="6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5"/>
      <c r="R260" s="3"/>
      <c r="S260" s="7"/>
      <c r="T260" s="3"/>
    </row>
    <row r="261" spans="1:20">
      <c r="A261" s="4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5"/>
      <c r="R261" s="3"/>
      <c r="S261" s="7"/>
      <c r="T261" s="3"/>
    </row>
    <row r="262" spans="1:20">
      <c r="A262" s="4"/>
      <c r="B262" s="6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5"/>
      <c r="R262" s="3"/>
      <c r="S262" s="7"/>
      <c r="T262" s="3"/>
    </row>
    <row r="263" spans="1:20">
      <c r="A263" s="4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5"/>
      <c r="R263" s="3"/>
      <c r="S263" s="7"/>
      <c r="T263" s="3"/>
    </row>
    <row r="264" spans="1:20">
      <c r="A264" s="4"/>
      <c r="B264" s="6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5"/>
      <c r="R264" s="3"/>
      <c r="S264" s="7"/>
      <c r="T264" s="3"/>
    </row>
    <row r="265" spans="1:20">
      <c r="A265" s="4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5"/>
      <c r="R265" s="3"/>
      <c r="S265" s="7"/>
      <c r="T265" s="3"/>
    </row>
    <row r="266" spans="1:20">
      <c r="A266" s="4"/>
      <c r="B266" s="6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5"/>
      <c r="R266" s="3"/>
      <c r="S266" s="7"/>
      <c r="T266" s="3"/>
    </row>
    <row r="267" spans="1:20">
      <c r="A267" s="4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5"/>
      <c r="R267" s="3"/>
      <c r="S267" s="7"/>
      <c r="T267" s="3"/>
    </row>
    <row r="268" spans="1:20">
      <c r="A268" s="4"/>
      <c r="B268" s="6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5"/>
      <c r="R268" s="3"/>
      <c r="S268" s="7"/>
      <c r="T268" s="3"/>
    </row>
    <row r="269" spans="1:20">
      <c r="A269" s="4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5"/>
      <c r="R269" s="3"/>
      <c r="S269" s="7"/>
      <c r="T269" s="3"/>
    </row>
    <row r="270" spans="1:20">
      <c r="A270" s="4"/>
      <c r="B270" s="6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5"/>
      <c r="R270" s="3"/>
      <c r="S270" s="7"/>
      <c r="T270" s="3"/>
    </row>
    <row r="271" spans="1:20">
      <c r="A271" s="4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5"/>
      <c r="R271" s="3"/>
      <c r="S271" s="7"/>
      <c r="T271" s="3"/>
    </row>
    <row r="272" spans="1:20">
      <c r="A272" s="4"/>
      <c r="B272" s="6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5"/>
      <c r="R272" s="3"/>
      <c r="S272" s="7"/>
      <c r="T272" s="3"/>
    </row>
    <row r="273" spans="1:20">
      <c r="A273" s="4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5"/>
      <c r="R273" s="3"/>
      <c r="S273" s="7"/>
      <c r="T273" s="3"/>
    </row>
    <row r="274" spans="1:20">
      <c r="A274" s="4"/>
      <c r="B274" s="6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5"/>
      <c r="R274" s="3"/>
      <c r="S274" s="7"/>
      <c r="T274" s="3"/>
    </row>
    <row r="275" spans="1:20">
      <c r="A275" s="4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5"/>
      <c r="R275" s="3"/>
      <c r="S275" s="7"/>
      <c r="T275" s="3"/>
    </row>
    <row r="276" spans="1:20">
      <c r="A276" s="4"/>
      <c r="B276" s="6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5"/>
      <c r="R276" s="3"/>
      <c r="S276" s="7"/>
      <c r="T276" s="3"/>
    </row>
    <row r="277" spans="1:20">
      <c r="A277" s="4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5"/>
      <c r="R277" s="3"/>
      <c r="S277" s="7"/>
      <c r="T277" s="3"/>
    </row>
    <row r="278" spans="1:20">
      <c r="A278" s="4"/>
      <c r="B278" s="6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5"/>
      <c r="R278" s="3"/>
      <c r="S278" s="7"/>
      <c r="T278" s="3"/>
    </row>
    <row r="279" spans="1:20">
      <c r="A279" s="4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5"/>
      <c r="R279" s="3"/>
      <c r="S279" s="7"/>
      <c r="T279" s="3"/>
    </row>
    <row r="280" spans="1:20">
      <c r="A280" s="4"/>
      <c r="B280" s="6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5"/>
      <c r="R280" s="3"/>
      <c r="S280" s="7"/>
      <c r="T280" s="3"/>
    </row>
    <row r="281" spans="1:20">
      <c r="A281" s="4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5"/>
      <c r="R281" s="3"/>
      <c r="S281" s="7"/>
      <c r="T281" s="3"/>
    </row>
    <row r="282" spans="1:20">
      <c r="A282" s="4"/>
      <c r="B282" s="6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5"/>
      <c r="R282" s="3"/>
      <c r="S282" s="7"/>
      <c r="T282" s="3"/>
    </row>
    <row r="283" spans="1:20">
      <c r="A283" s="4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5"/>
      <c r="R283" s="3"/>
      <c r="S283" s="7"/>
      <c r="T283" s="3"/>
    </row>
    <row r="284" spans="1:20">
      <c r="A284" s="4"/>
      <c r="B284" s="6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5"/>
      <c r="R284" s="3"/>
      <c r="S284" s="7"/>
      <c r="T284" s="3"/>
    </row>
    <row r="285" spans="1:20">
      <c r="A285" s="4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5"/>
      <c r="R285" s="3"/>
      <c r="S285" s="7"/>
      <c r="T285" s="3"/>
    </row>
    <row r="286" spans="1:20">
      <c r="A286" s="4"/>
      <c r="B286" s="6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5"/>
      <c r="R286" s="3"/>
      <c r="S286" s="7"/>
      <c r="T286" s="3"/>
    </row>
    <row r="287" spans="1:20">
      <c r="A287" s="4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5"/>
      <c r="R287" s="3"/>
      <c r="S287" s="7"/>
      <c r="T287" s="3"/>
    </row>
    <row r="288" spans="1:20">
      <c r="A288" s="4"/>
      <c r="B288" s="6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5"/>
      <c r="R288" s="3"/>
      <c r="S288" s="7"/>
      <c r="T288" s="3"/>
    </row>
    <row r="289" spans="1:20">
      <c r="A289" s="4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5"/>
      <c r="R289" s="3"/>
      <c r="S289" s="7"/>
      <c r="T289" s="3"/>
    </row>
    <row r="290" spans="1:20">
      <c r="A290" s="4"/>
      <c r="B290" s="6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5"/>
      <c r="R290" s="3"/>
      <c r="S290" s="7"/>
      <c r="T290" s="3"/>
    </row>
    <row r="291" spans="1:20">
      <c r="A291" s="4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5"/>
      <c r="R291" s="3"/>
      <c r="S291" s="7"/>
      <c r="T291" s="3"/>
    </row>
    <row r="292" spans="1:20">
      <c r="A292" s="4"/>
      <c r="B292" s="6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5"/>
      <c r="R292" s="3"/>
      <c r="S292" s="7"/>
      <c r="T292" s="3"/>
    </row>
    <row r="293" spans="1:20">
      <c r="A293" s="4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5"/>
      <c r="R293" s="3"/>
      <c r="S293" s="7"/>
      <c r="T293" s="3"/>
    </row>
    <row r="294" spans="1:20">
      <c r="A294" s="4"/>
      <c r="B294" s="6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5"/>
      <c r="R294" s="3"/>
      <c r="S294" s="7"/>
      <c r="T294" s="3"/>
    </row>
    <row r="295" spans="1:20">
      <c r="A295" s="4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5"/>
      <c r="R295" s="3"/>
      <c r="S295" s="7"/>
      <c r="T295" s="3"/>
    </row>
    <row r="296" spans="1:20">
      <c r="A296" s="4"/>
      <c r="B296" s="6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5"/>
      <c r="R296" s="3"/>
      <c r="S296" s="7"/>
      <c r="T296" s="3"/>
    </row>
    <row r="297" spans="1:20">
      <c r="A297" s="4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5"/>
      <c r="R297" s="3"/>
      <c r="S297" s="7"/>
      <c r="T297" s="3"/>
    </row>
    <row r="298" spans="1:20">
      <c r="A298" s="4"/>
      <c r="B298" s="6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5"/>
      <c r="R298" s="3"/>
      <c r="S298" s="7"/>
      <c r="T298" s="3"/>
    </row>
    <row r="299" spans="1:20">
      <c r="A299" s="4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5"/>
      <c r="R299" s="3"/>
      <c r="S299" s="7"/>
      <c r="T299" s="3"/>
    </row>
    <row r="300" spans="1:20">
      <c r="A300" s="4"/>
      <c r="B300" s="6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5"/>
      <c r="R300" s="3"/>
      <c r="S300" s="7"/>
      <c r="T300" s="3"/>
    </row>
    <row r="301" spans="1:20">
      <c r="A301" s="4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5"/>
      <c r="R301" s="3"/>
      <c r="S301" s="7"/>
      <c r="T301" s="3"/>
    </row>
    <row r="302" spans="1:20">
      <c r="A302" s="4"/>
      <c r="B302" s="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5"/>
      <c r="R302" s="3"/>
      <c r="S302" s="7"/>
      <c r="T302" s="3"/>
    </row>
    <row r="303" spans="1:20">
      <c r="A303" s="4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5"/>
      <c r="R303" s="3"/>
      <c r="S303" s="7"/>
      <c r="T303" s="3"/>
    </row>
    <row r="304" spans="1:20">
      <c r="A304" s="4"/>
      <c r="B304" s="6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5"/>
      <c r="R304" s="3"/>
      <c r="S304" s="7"/>
      <c r="T304" s="3"/>
    </row>
    <row r="305" spans="1:20">
      <c r="A305" s="4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5"/>
      <c r="R305" s="3"/>
      <c r="S305" s="7"/>
      <c r="T305" s="3"/>
    </row>
    <row r="306" spans="1:20">
      <c r="A306" s="4"/>
      <c r="B306" s="6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5"/>
      <c r="R306" s="3"/>
      <c r="S306" s="7"/>
      <c r="T306" s="3"/>
    </row>
    <row r="307" spans="1:20">
      <c r="A307" s="4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5"/>
      <c r="R307" s="3"/>
      <c r="S307" s="7"/>
      <c r="T307" s="3"/>
    </row>
    <row r="308" spans="1:20">
      <c r="A308" s="4"/>
      <c r="B308" s="6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5"/>
      <c r="R308" s="3"/>
      <c r="S308" s="7"/>
      <c r="T308" s="3"/>
    </row>
    <row r="309" spans="1:20">
      <c r="A309" s="4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5"/>
      <c r="R309" s="3"/>
      <c r="S309" s="7"/>
      <c r="T309" s="3"/>
    </row>
    <row r="310" spans="1:20">
      <c r="A310" s="4"/>
      <c r="B310" s="6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5"/>
      <c r="R310" s="3"/>
      <c r="S310" s="7"/>
      <c r="T310" s="3"/>
    </row>
    <row r="311" spans="1:20">
      <c r="A311" s="4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5"/>
      <c r="R311" s="3"/>
      <c r="S311" s="7"/>
      <c r="T311" s="3"/>
    </row>
    <row r="312" spans="1:20">
      <c r="A312" s="4"/>
      <c r="B312" s="6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5"/>
      <c r="R312" s="3"/>
      <c r="S312" s="7"/>
      <c r="T312" s="3"/>
    </row>
    <row r="313" spans="1:20">
      <c r="A313" s="4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5"/>
      <c r="R313" s="3"/>
      <c r="S313" s="7"/>
      <c r="T313" s="3"/>
    </row>
    <row r="314" spans="1:20">
      <c r="A314" s="4"/>
      <c r="B314" s="6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5"/>
      <c r="R314" s="3"/>
      <c r="S314" s="7"/>
      <c r="T314" s="3"/>
    </row>
    <row r="315" spans="1:20">
      <c r="A315" s="4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5"/>
      <c r="R315" s="3"/>
      <c r="S315" s="7"/>
      <c r="T315" s="3"/>
    </row>
    <row r="316" spans="1:20">
      <c r="A316" s="4"/>
      <c r="B316" s="6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5"/>
      <c r="R316" s="3"/>
      <c r="S316" s="7"/>
      <c r="T316" s="3"/>
    </row>
    <row r="317" spans="1:20">
      <c r="A317" s="4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5"/>
      <c r="R317" s="3"/>
      <c r="S317" s="7"/>
      <c r="T317" s="3"/>
    </row>
    <row r="318" spans="1:20">
      <c r="A318" s="4"/>
      <c r="B318" s="6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5"/>
      <c r="R318" s="3"/>
      <c r="S318" s="7"/>
      <c r="T318" s="3"/>
    </row>
    <row r="319" spans="1:20">
      <c r="A319" s="4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5"/>
      <c r="R319" s="3"/>
      <c r="S319" s="7"/>
      <c r="T319" s="3"/>
    </row>
    <row r="320" spans="1:20">
      <c r="A320" s="4"/>
      <c r="B320" s="6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5"/>
      <c r="R320" s="3"/>
      <c r="S320" s="7"/>
      <c r="T320" s="3"/>
    </row>
    <row r="321" spans="1:20">
      <c r="A321" s="4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5"/>
      <c r="R321" s="3"/>
      <c r="S321" s="7"/>
      <c r="T321" s="3"/>
    </row>
    <row r="322" spans="1:20">
      <c r="A322" s="4"/>
      <c r="B322" s="6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5"/>
      <c r="R322" s="3"/>
      <c r="S322" s="7"/>
      <c r="T322" s="3"/>
    </row>
    <row r="323" spans="1:20">
      <c r="A323" s="4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5"/>
      <c r="R323" s="3"/>
      <c r="S323" s="7"/>
      <c r="T323" s="3"/>
    </row>
    <row r="324" spans="1:20">
      <c r="A324" s="4"/>
      <c r="B324" s="6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5"/>
      <c r="R324" s="3"/>
      <c r="S324" s="7"/>
      <c r="T324" s="3"/>
    </row>
    <row r="325" spans="1:20">
      <c r="A325" s="4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5"/>
      <c r="R325" s="3"/>
      <c r="S325" s="7"/>
      <c r="T325" s="3"/>
    </row>
    <row r="326" spans="1:20">
      <c r="A326" s="4"/>
      <c r="B326" s="6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5"/>
      <c r="R326" s="3"/>
      <c r="S326" s="7"/>
      <c r="T326" s="3"/>
    </row>
    <row r="327" spans="1:20">
      <c r="A327" s="4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5"/>
      <c r="R327" s="3"/>
      <c r="S327" s="7"/>
      <c r="T327" s="3"/>
    </row>
    <row r="328" spans="1:20">
      <c r="A328" s="4"/>
      <c r="B328" s="6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5"/>
      <c r="R328" s="3"/>
      <c r="S328" s="7"/>
      <c r="T328" s="3"/>
    </row>
    <row r="329" spans="1:20">
      <c r="A329" s="4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5"/>
      <c r="R329" s="3"/>
      <c r="S329" s="7"/>
      <c r="T329" s="3"/>
    </row>
    <row r="330" spans="1:20">
      <c r="A330" s="4"/>
      <c r="B330" s="6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5"/>
      <c r="R330" s="3"/>
      <c r="S330" s="7"/>
      <c r="T330" s="3"/>
    </row>
    <row r="331" spans="1:20">
      <c r="A331" s="4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5"/>
      <c r="R331" s="3"/>
      <c r="S331" s="7"/>
      <c r="T331" s="3"/>
    </row>
    <row r="332" spans="1:20">
      <c r="A332" s="4"/>
      <c r="B332" s="6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5"/>
      <c r="R332" s="3"/>
      <c r="S332" s="7"/>
      <c r="T332" s="3"/>
    </row>
    <row r="333" spans="1:20">
      <c r="A333" s="4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5"/>
      <c r="R333" s="3"/>
      <c r="S333" s="7"/>
      <c r="T333" s="3"/>
    </row>
    <row r="334" spans="1:20">
      <c r="A334" s="4"/>
      <c r="B334" s="6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5"/>
      <c r="R334" s="3"/>
      <c r="S334" s="7"/>
      <c r="T334" s="3"/>
    </row>
    <row r="335" spans="1:20">
      <c r="A335" s="4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5"/>
      <c r="R335" s="3"/>
      <c r="S335" s="7"/>
      <c r="T335" s="3"/>
    </row>
    <row r="336" spans="1:20">
      <c r="A336" s="4"/>
      <c r="B336" s="6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5"/>
      <c r="R336" s="3"/>
      <c r="S336" s="7"/>
      <c r="T336" s="3"/>
    </row>
    <row r="337" spans="1:20">
      <c r="A337" s="4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5"/>
      <c r="R337" s="3"/>
      <c r="S337" s="7"/>
      <c r="T337" s="3"/>
    </row>
    <row r="338" spans="1:20">
      <c r="A338" s="4"/>
      <c r="B338" s="6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5"/>
      <c r="R338" s="3"/>
      <c r="S338" s="7"/>
      <c r="T338" s="3"/>
    </row>
    <row r="339" spans="1:20">
      <c r="A339" s="4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5"/>
      <c r="R339" s="3"/>
      <c r="S339" s="7"/>
      <c r="T339" s="3"/>
    </row>
    <row r="340" spans="1:20">
      <c r="A340" s="4"/>
      <c r="B340" s="6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5"/>
      <c r="R340" s="3"/>
      <c r="S340" s="7"/>
      <c r="T340" s="3"/>
    </row>
    <row r="341" spans="1:20">
      <c r="A341" s="4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5"/>
      <c r="R341" s="3"/>
      <c r="S341" s="7"/>
      <c r="T341" s="3"/>
    </row>
    <row r="342" spans="1:20">
      <c r="A342" s="4"/>
      <c r="B342" s="6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5"/>
      <c r="R342" s="3"/>
      <c r="S342" s="7"/>
      <c r="T342" s="3"/>
    </row>
    <row r="343" spans="1:20">
      <c r="A343" s="4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5"/>
      <c r="R343" s="3"/>
      <c r="S343" s="7"/>
      <c r="T343" s="3"/>
    </row>
    <row r="344" spans="1:20">
      <c r="A344" s="4"/>
      <c r="B344" s="6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5"/>
      <c r="R344" s="3"/>
      <c r="S344" s="7"/>
      <c r="T344" s="3"/>
    </row>
    <row r="345" spans="1:20">
      <c r="A345" s="4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5"/>
      <c r="R345" s="3"/>
      <c r="S345" s="7"/>
      <c r="T345" s="3"/>
    </row>
    <row r="346" spans="1:20">
      <c r="A346" s="4"/>
      <c r="B346" s="6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5"/>
      <c r="R346" s="3"/>
      <c r="S346" s="7"/>
      <c r="T346" s="3"/>
    </row>
    <row r="347" spans="1:20">
      <c r="A347" s="4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5"/>
      <c r="R347" s="3"/>
      <c r="S347" s="7"/>
      <c r="T347" s="3"/>
    </row>
    <row r="348" spans="1:20">
      <c r="A348" s="4"/>
      <c r="B348" s="6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5"/>
      <c r="R348" s="3"/>
      <c r="S348" s="7"/>
      <c r="T348" s="3"/>
    </row>
    <row r="349" spans="1:20">
      <c r="A349" s="4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5"/>
      <c r="R349" s="3"/>
      <c r="S349" s="7"/>
      <c r="T349" s="3"/>
    </row>
    <row r="350" spans="1:20">
      <c r="A350" s="4"/>
      <c r="B350" s="6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5"/>
      <c r="R350" s="3"/>
      <c r="S350" s="7"/>
      <c r="T350" s="3"/>
    </row>
    <row r="351" spans="1:20">
      <c r="A351" s="4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5"/>
      <c r="R351" s="3"/>
      <c r="S351" s="7"/>
      <c r="T351" s="3"/>
    </row>
    <row r="352" spans="1:20">
      <c r="A352" s="4"/>
      <c r="B352" s="6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5"/>
      <c r="R352" s="3"/>
      <c r="S352" s="7"/>
      <c r="T352" s="3"/>
    </row>
    <row r="353" spans="1:20">
      <c r="A353" s="4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5"/>
      <c r="R353" s="3"/>
      <c r="S353" s="7"/>
      <c r="T353" s="3"/>
    </row>
    <row r="354" spans="1:20">
      <c r="A354" s="4"/>
      <c r="B354" s="6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5"/>
      <c r="R354" s="3"/>
      <c r="S354" s="7"/>
      <c r="T354" s="3"/>
    </row>
    <row r="355" spans="1:20">
      <c r="A355" s="4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5"/>
      <c r="R355" s="3"/>
      <c r="S355" s="7"/>
      <c r="T355" s="3"/>
    </row>
    <row r="356" spans="1:20">
      <c r="A356" s="4"/>
      <c r="B356" s="6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5"/>
      <c r="R356" s="3"/>
      <c r="S356" s="7"/>
      <c r="T356" s="3"/>
    </row>
    <row r="357" spans="1:20">
      <c r="A357" s="4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5"/>
      <c r="R357" s="3"/>
      <c r="S357" s="7"/>
      <c r="T357" s="3"/>
    </row>
    <row r="358" spans="1:20">
      <c r="A358" s="4"/>
      <c r="B358" s="6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5"/>
      <c r="R358" s="3"/>
      <c r="S358" s="7"/>
      <c r="T358" s="3"/>
    </row>
    <row r="359" spans="1:20">
      <c r="A359" s="4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5"/>
      <c r="R359" s="3"/>
      <c r="S359" s="7"/>
      <c r="T359" s="3"/>
    </row>
    <row r="360" spans="1:20">
      <c r="A360" s="4"/>
      <c r="B360" s="6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5"/>
      <c r="R360" s="3"/>
      <c r="S360" s="7"/>
      <c r="T360" s="3"/>
    </row>
    <row r="361" spans="1:20">
      <c r="A361" s="4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5"/>
      <c r="R361" s="3"/>
      <c r="S361" s="7"/>
      <c r="T361" s="3"/>
    </row>
    <row r="362" spans="1:20">
      <c r="A362" s="4"/>
      <c r="B362" s="6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5"/>
      <c r="R362" s="3"/>
      <c r="S362" s="7"/>
      <c r="T362" s="3"/>
    </row>
    <row r="363" spans="1:20">
      <c r="A363" s="4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5"/>
      <c r="R363" s="3"/>
      <c r="S363" s="7"/>
      <c r="T363" s="3"/>
    </row>
    <row r="364" spans="1:20">
      <c r="A364" s="4"/>
      <c r="B364" s="6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5"/>
      <c r="R364" s="3"/>
      <c r="S364" s="7"/>
      <c r="T364" s="3"/>
    </row>
    <row r="365" spans="1:20">
      <c r="A365" s="4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5"/>
      <c r="R365" s="3"/>
      <c r="S365" s="7"/>
      <c r="T365" s="3"/>
    </row>
    <row r="366" spans="1:20">
      <c r="A366" s="4"/>
      <c r="B366" s="6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5"/>
      <c r="R366" s="3"/>
      <c r="S366" s="7"/>
      <c r="T366" s="3"/>
    </row>
    <row r="367" spans="1:20">
      <c r="A367" s="4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5"/>
      <c r="R367" s="3"/>
      <c r="S367" s="7"/>
      <c r="T367" s="3"/>
    </row>
    <row r="368" spans="1:20">
      <c r="A368" s="4"/>
      <c r="B368" s="6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5"/>
      <c r="R368" s="3"/>
      <c r="S368" s="7"/>
      <c r="T368" s="3"/>
    </row>
    <row r="369" spans="1:20">
      <c r="A369" s="4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5"/>
      <c r="R369" s="3"/>
      <c r="S369" s="7"/>
      <c r="T369" s="3"/>
    </row>
    <row r="370" spans="1:20">
      <c r="A370" s="4"/>
      <c r="B370" s="6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5"/>
      <c r="R370" s="3"/>
      <c r="S370" s="7"/>
      <c r="T370" s="3"/>
    </row>
    <row r="371" spans="1:20">
      <c r="A371" s="4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5"/>
      <c r="R371" s="3"/>
      <c r="S371" s="7"/>
      <c r="T371" s="3"/>
    </row>
    <row r="372" spans="1:20">
      <c r="A372" s="4"/>
      <c r="B372" s="6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5"/>
      <c r="R372" s="3"/>
      <c r="S372" s="7"/>
      <c r="T372" s="3"/>
    </row>
    <row r="373" spans="1:20">
      <c r="A373" s="4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5"/>
      <c r="R373" s="3"/>
      <c r="S373" s="7"/>
      <c r="T373" s="3"/>
    </row>
    <row r="374" spans="1:20">
      <c r="A374" s="4"/>
      <c r="B374" s="6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5"/>
      <c r="R374" s="3"/>
      <c r="S374" s="7"/>
      <c r="T374" s="3"/>
    </row>
    <row r="375" spans="1:20">
      <c r="A375" s="4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5"/>
      <c r="R375" s="3"/>
      <c r="S375" s="7"/>
      <c r="T375" s="3"/>
    </row>
    <row r="376" spans="1:20">
      <c r="A376" s="4"/>
      <c r="B376" s="6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5"/>
      <c r="R376" s="3"/>
      <c r="S376" s="7"/>
      <c r="T376" s="3"/>
    </row>
    <row r="377" spans="1:20">
      <c r="A377" s="4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5"/>
      <c r="R377" s="3"/>
      <c r="S377" s="7"/>
      <c r="T377" s="3"/>
    </row>
    <row r="378" spans="1:20">
      <c r="A378" s="4"/>
      <c r="B378" s="6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5"/>
      <c r="R378" s="3"/>
      <c r="S378" s="7"/>
      <c r="T378" s="3"/>
    </row>
    <row r="379" spans="1:20">
      <c r="A379" s="4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5"/>
      <c r="R379" s="3"/>
      <c r="S379" s="7"/>
      <c r="T379" s="3"/>
    </row>
    <row r="380" spans="1:20">
      <c r="A380" s="4"/>
      <c r="B380" s="6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5"/>
      <c r="R380" s="3"/>
      <c r="S380" s="7"/>
      <c r="T380" s="3"/>
    </row>
    <row r="381" spans="1:20">
      <c r="A381" s="4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5"/>
      <c r="R381" s="3"/>
      <c r="S381" s="7"/>
      <c r="T381" s="3"/>
    </row>
    <row r="382" spans="1:20">
      <c r="A382" s="4"/>
      <c r="B382" s="6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5"/>
      <c r="R382" s="3"/>
      <c r="S382" s="7"/>
      <c r="T382" s="3"/>
    </row>
    <row r="383" spans="1:20">
      <c r="A383" s="4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5"/>
      <c r="R383" s="3"/>
      <c r="S383" s="7"/>
      <c r="T383" s="3"/>
    </row>
    <row r="384" spans="1:20">
      <c r="A384" s="4"/>
      <c r="B384" s="6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5"/>
      <c r="R384" s="3"/>
      <c r="S384" s="7"/>
      <c r="T384" s="3"/>
    </row>
    <row r="385" spans="1:20">
      <c r="A385" s="4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5"/>
      <c r="R385" s="3"/>
      <c r="S385" s="7"/>
      <c r="T385" s="3"/>
    </row>
    <row r="386" spans="1:20">
      <c r="A386" s="4"/>
      <c r="B386" s="6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5"/>
      <c r="R386" s="3"/>
      <c r="S386" s="7"/>
      <c r="T386" s="3"/>
    </row>
    <row r="387" spans="1:20">
      <c r="A387" s="4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5"/>
      <c r="R387" s="3"/>
      <c r="S387" s="7"/>
      <c r="T387" s="3"/>
    </row>
    <row r="388" spans="1:20">
      <c r="A388" s="4"/>
      <c r="B388" s="6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5"/>
      <c r="R388" s="3"/>
      <c r="S388" s="7"/>
      <c r="T388" s="3"/>
    </row>
    <row r="389" spans="1:20">
      <c r="A389" s="4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5"/>
      <c r="R389" s="3"/>
      <c r="S389" s="7"/>
      <c r="T389" s="3"/>
    </row>
    <row r="390" spans="1:20">
      <c r="A390" s="4"/>
      <c r="B390" s="6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5"/>
      <c r="R390" s="3"/>
      <c r="S390" s="7"/>
      <c r="T390" s="3"/>
    </row>
    <row r="391" spans="1:20">
      <c r="A391" s="4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5"/>
      <c r="R391" s="3"/>
      <c r="S391" s="7"/>
      <c r="T391" s="3"/>
    </row>
    <row r="392" spans="1:20">
      <c r="A392" s="4"/>
      <c r="B392" s="6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5"/>
      <c r="R392" s="3"/>
      <c r="S392" s="7"/>
      <c r="T392" s="3"/>
    </row>
    <row r="393" spans="1:20">
      <c r="A393" s="4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5"/>
      <c r="R393" s="3"/>
      <c r="S393" s="7"/>
      <c r="T393" s="3"/>
    </row>
    <row r="394" spans="1:20">
      <c r="A394" s="4"/>
      <c r="B394" s="6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5"/>
      <c r="R394" s="3"/>
      <c r="S394" s="7"/>
      <c r="T394" s="3"/>
    </row>
    <row r="395" spans="1:20">
      <c r="A395" s="4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5"/>
      <c r="R395" s="3"/>
      <c r="S395" s="7"/>
      <c r="T395" s="3"/>
    </row>
    <row r="396" spans="1:20">
      <c r="A396" s="4"/>
      <c r="B396" s="6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5"/>
      <c r="R396" s="3"/>
      <c r="S396" s="7"/>
      <c r="T396" s="3"/>
    </row>
    <row r="397" spans="1:20">
      <c r="A397" s="4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5"/>
      <c r="R397" s="3"/>
      <c r="S397" s="7"/>
      <c r="T397" s="3"/>
    </row>
    <row r="398" spans="1:20">
      <c r="A398" s="4"/>
      <c r="B398" s="6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5"/>
      <c r="R398" s="3"/>
      <c r="S398" s="7"/>
      <c r="T398" s="3"/>
    </row>
    <row r="399" spans="1:20">
      <c r="A399" s="4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5"/>
      <c r="R399" s="3"/>
      <c r="S399" s="7"/>
      <c r="T399" s="3"/>
    </row>
    <row r="400" spans="1:20">
      <c r="A400" s="4"/>
      <c r="B400" s="6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5"/>
      <c r="R400" s="3"/>
      <c r="S400" s="7"/>
      <c r="T400" s="3"/>
    </row>
    <row r="401" spans="1:20">
      <c r="A401" s="4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5"/>
      <c r="R401" s="3"/>
      <c r="S401" s="7"/>
      <c r="T401" s="3"/>
    </row>
    <row r="402" spans="1:20">
      <c r="A402" s="4"/>
      <c r="B402" s="6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5"/>
      <c r="R402" s="3"/>
      <c r="S402" s="7"/>
      <c r="T402" s="3"/>
    </row>
    <row r="403" spans="1:20">
      <c r="A403" s="4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5"/>
      <c r="R403" s="3"/>
      <c r="S403" s="7"/>
      <c r="T403" s="3"/>
    </row>
    <row r="404" spans="1:20">
      <c r="A404" s="4"/>
      <c r="B404" s="6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5"/>
      <c r="R404" s="3"/>
      <c r="S404" s="7"/>
      <c r="T404" s="3"/>
    </row>
    <row r="405" spans="1:20">
      <c r="A405" s="4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5"/>
      <c r="R405" s="3"/>
      <c r="S405" s="7"/>
      <c r="T405" s="3"/>
    </row>
    <row r="406" spans="1:20">
      <c r="A406" s="4"/>
      <c r="B406" s="6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5"/>
      <c r="R406" s="3"/>
      <c r="S406" s="7"/>
      <c r="T406" s="3"/>
    </row>
    <row r="407" spans="1:20">
      <c r="A407" s="4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5"/>
      <c r="R407" s="3"/>
      <c r="S407" s="7"/>
      <c r="T407" s="3"/>
    </row>
    <row r="408" spans="1:20">
      <c r="A408" s="4"/>
      <c r="B408" s="6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5"/>
      <c r="R408" s="3"/>
      <c r="S408" s="7"/>
      <c r="T408" s="3"/>
    </row>
    <row r="409" spans="1:20">
      <c r="A409" s="4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5"/>
      <c r="R409" s="3"/>
      <c r="S409" s="7"/>
      <c r="T409" s="3"/>
    </row>
    <row r="410" spans="1:20">
      <c r="A410" s="4"/>
      <c r="B410" s="6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5"/>
      <c r="R410" s="3"/>
      <c r="S410" s="7"/>
      <c r="T410" s="3"/>
    </row>
    <row r="411" spans="1:20">
      <c r="A411" s="4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5"/>
      <c r="R411" s="3"/>
      <c r="S411" s="7"/>
      <c r="T411" s="3"/>
    </row>
    <row r="412" spans="1:20">
      <c r="A412" s="4"/>
      <c r="B412" s="6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5"/>
      <c r="R412" s="3"/>
      <c r="S412" s="7"/>
      <c r="T412" s="3"/>
    </row>
    <row r="413" spans="1:20">
      <c r="A413" s="4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5"/>
      <c r="R413" s="3"/>
      <c r="S413" s="7"/>
      <c r="T413" s="3"/>
    </row>
    <row r="414" spans="1:20">
      <c r="A414" s="4"/>
      <c r="B414" s="6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5"/>
      <c r="R414" s="3"/>
      <c r="S414" s="7"/>
      <c r="T414" s="3"/>
    </row>
    <row r="415" spans="1:20">
      <c r="A415" s="4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5"/>
      <c r="R415" s="3"/>
      <c r="S415" s="7"/>
      <c r="T415" s="3"/>
    </row>
    <row r="416" spans="1:20">
      <c r="A416" s="4"/>
      <c r="B416" s="6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5"/>
      <c r="R416" s="3"/>
      <c r="S416" s="7"/>
      <c r="T416" s="3"/>
    </row>
    <row r="417" spans="1:20">
      <c r="A417" s="4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5"/>
      <c r="R417" s="3"/>
      <c r="S417" s="7"/>
      <c r="T417" s="3"/>
    </row>
    <row r="418" spans="1:20">
      <c r="A418" s="4"/>
      <c r="B418" s="6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5"/>
      <c r="R418" s="3"/>
      <c r="S418" s="7"/>
      <c r="T418" s="3"/>
    </row>
    <row r="419" spans="1:20">
      <c r="A419" s="4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5"/>
      <c r="R419" s="3"/>
      <c r="S419" s="7"/>
      <c r="T419" s="3"/>
    </row>
    <row r="420" spans="1:20">
      <c r="A420" s="4"/>
      <c r="B420" s="6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5"/>
      <c r="R420" s="3"/>
      <c r="S420" s="7"/>
      <c r="T420" s="3"/>
    </row>
    <row r="421" spans="1:20">
      <c r="A421" s="4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5"/>
      <c r="R421" s="3"/>
      <c r="S421" s="7"/>
      <c r="T421" s="3"/>
    </row>
    <row r="422" spans="1:20">
      <c r="A422" s="4"/>
      <c r="B422" s="6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5"/>
      <c r="R422" s="3"/>
      <c r="S422" s="7"/>
      <c r="T422" s="3"/>
    </row>
    <row r="423" spans="1:20">
      <c r="A423" s="4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5"/>
      <c r="R423" s="3"/>
      <c r="S423" s="7"/>
      <c r="T423" s="3"/>
    </row>
    <row r="424" spans="1:20">
      <c r="A424" s="4"/>
      <c r="B424" s="6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5"/>
      <c r="R424" s="3"/>
      <c r="S424" s="7"/>
      <c r="T424" s="3"/>
    </row>
    <row r="425" spans="1:20">
      <c r="A425" s="4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5"/>
      <c r="R425" s="3"/>
      <c r="S425" s="7"/>
      <c r="T425" s="3"/>
    </row>
    <row r="426" spans="1:20">
      <c r="A426" s="4"/>
      <c r="B426" s="6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5"/>
      <c r="R426" s="3"/>
      <c r="S426" s="7"/>
      <c r="T426" s="3"/>
    </row>
    <row r="427" spans="1:20">
      <c r="A427" s="4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5"/>
      <c r="R427" s="3"/>
      <c r="S427" s="7"/>
      <c r="T427" s="3"/>
    </row>
    <row r="428" spans="1:20">
      <c r="A428" s="4"/>
      <c r="B428" s="6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5"/>
      <c r="R428" s="3"/>
      <c r="S428" s="7"/>
      <c r="T428" s="3"/>
    </row>
    <row r="429" spans="1:20">
      <c r="A429" s="4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5"/>
      <c r="R429" s="3"/>
      <c r="S429" s="7"/>
      <c r="T429" s="3"/>
    </row>
    <row r="430" spans="1:20">
      <c r="A430" s="4"/>
      <c r="B430" s="6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5"/>
      <c r="R430" s="3"/>
      <c r="S430" s="7"/>
      <c r="T430" s="3"/>
    </row>
    <row r="431" spans="1:20">
      <c r="A431" s="4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5"/>
      <c r="R431" s="3"/>
      <c r="S431" s="7"/>
      <c r="T431" s="3"/>
    </row>
    <row r="432" spans="1:20">
      <c r="A432" s="4"/>
      <c r="B432" s="6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5"/>
      <c r="R432" s="3"/>
      <c r="S432" s="7"/>
      <c r="T432" s="3"/>
    </row>
    <row r="433" spans="1:20">
      <c r="A433" s="4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5"/>
      <c r="R433" s="3"/>
      <c r="S433" s="7"/>
      <c r="T433" s="3"/>
    </row>
    <row r="434" spans="1:20">
      <c r="A434" s="4"/>
      <c r="B434" s="6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5"/>
      <c r="R434" s="3"/>
      <c r="S434" s="7"/>
      <c r="T434" s="3"/>
    </row>
    <row r="435" spans="1:20">
      <c r="A435" s="4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5"/>
      <c r="R435" s="3"/>
      <c r="S435" s="7"/>
      <c r="T435" s="3"/>
    </row>
    <row r="436" spans="1:20">
      <c r="A436" s="4"/>
      <c r="B436" s="6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5"/>
      <c r="R436" s="3"/>
      <c r="S436" s="7"/>
      <c r="T436" s="3"/>
    </row>
    <row r="437" spans="1:20">
      <c r="A437" s="4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5"/>
      <c r="R437" s="3"/>
      <c r="S437" s="7"/>
      <c r="T437" s="3"/>
    </row>
    <row r="438" spans="1:20">
      <c r="A438" s="4"/>
      <c r="B438" s="6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5"/>
      <c r="R438" s="3"/>
      <c r="S438" s="7"/>
      <c r="T438" s="3"/>
    </row>
    <row r="439" spans="1:20">
      <c r="A439" s="4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5"/>
      <c r="R439" s="3"/>
      <c r="S439" s="7"/>
      <c r="T439" s="3"/>
    </row>
    <row r="440" spans="1:20">
      <c r="A440" s="4"/>
      <c r="B440" s="6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5"/>
      <c r="R440" s="3"/>
      <c r="S440" s="7"/>
      <c r="T440" s="3"/>
    </row>
    <row r="441" spans="1:20">
      <c r="A441" s="4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5"/>
      <c r="R441" s="3"/>
      <c r="S441" s="7"/>
      <c r="T441" s="3"/>
    </row>
    <row r="442" spans="1:20">
      <c r="A442" s="4"/>
      <c r="B442" s="6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5"/>
      <c r="R442" s="3"/>
      <c r="S442" s="7"/>
      <c r="T442" s="3"/>
    </row>
    <row r="443" spans="1:20">
      <c r="A443" s="4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5"/>
      <c r="R443" s="3"/>
      <c r="S443" s="7"/>
      <c r="T443" s="3"/>
    </row>
    <row r="444" spans="1:20">
      <c r="A444" s="4"/>
      <c r="B444" s="6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5"/>
      <c r="R444" s="3"/>
      <c r="S444" s="7"/>
      <c r="T444" s="3"/>
    </row>
    <row r="445" spans="1:20">
      <c r="A445" s="4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5"/>
      <c r="R445" s="3"/>
      <c r="S445" s="7"/>
      <c r="T445" s="3"/>
    </row>
    <row r="446" spans="1:20">
      <c r="A446" s="4"/>
      <c r="B446" s="6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5"/>
      <c r="R446" s="3"/>
      <c r="S446" s="7"/>
      <c r="T446" s="3"/>
    </row>
    <row r="447" spans="1:20">
      <c r="A447" s="4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5"/>
      <c r="R447" s="3"/>
      <c r="S447" s="7"/>
      <c r="T447" s="3"/>
    </row>
    <row r="448" spans="1:20">
      <c r="A448" s="4"/>
      <c r="B448" s="6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5"/>
      <c r="R448" s="3"/>
      <c r="S448" s="7"/>
      <c r="T448" s="3"/>
    </row>
    <row r="449" spans="1:20">
      <c r="A449" s="4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5"/>
      <c r="R449" s="3"/>
      <c r="S449" s="7"/>
      <c r="T449" s="3"/>
    </row>
    <row r="450" spans="1:20">
      <c r="A450" s="4"/>
      <c r="B450" s="6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5"/>
      <c r="R450" s="3"/>
      <c r="S450" s="7"/>
      <c r="T450" s="3"/>
    </row>
    <row r="451" spans="1:20">
      <c r="A451" s="4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5"/>
      <c r="R451" s="3"/>
      <c r="S451" s="7"/>
      <c r="T451" s="3"/>
    </row>
    <row r="452" spans="1:20">
      <c r="A452" s="4"/>
      <c r="B452" s="6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5"/>
      <c r="R452" s="3"/>
      <c r="S452" s="7"/>
      <c r="T452" s="3"/>
    </row>
    <row r="453" spans="1:20">
      <c r="A453" s="4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5"/>
      <c r="R453" s="3"/>
      <c r="S453" s="7"/>
      <c r="T453" s="3"/>
    </row>
    <row r="454" spans="1:20">
      <c r="A454" s="4"/>
      <c r="B454" s="6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5"/>
      <c r="R454" s="3"/>
      <c r="S454" s="7"/>
      <c r="T454" s="3"/>
    </row>
    <row r="455" spans="1:20">
      <c r="A455" s="4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5"/>
      <c r="R455" s="3"/>
      <c r="S455" s="7"/>
      <c r="T455" s="3"/>
    </row>
    <row r="456" spans="1:20">
      <c r="A456" s="4"/>
      <c r="B456" s="6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5"/>
      <c r="R456" s="3"/>
      <c r="S456" s="7"/>
      <c r="T456" s="3"/>
    </row>
    <row r="457" spans="1:20">
      <c r="A457" s="4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5"/>
      <c r="R457" s="3"/>
      <c r="S457" s="7"/>
      <c r="T457" s="3"/>
    </row>
    <row r="458" spans="1:20">
      <c r="A458" s="4"/>
      <c r="B458" s="6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5"/>
      <c r="R458" s="3"/>
      <c r="S458" s="7"/>
      <c r="T458" s="3"/>
    </row>
    <row r="459" spans="1:20">
      <c r="A459" s="4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5"/>
      <c r="R459" s="3"/>
      <c r="S459" s="7"/>
      <c r="T459" s="3"/>
    </row>
    <row r="460" spans="1:20">
      <c r="A460" s="4"/>
      <c r="B460" s="6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5"/>
      <c r="R460" s="3"/>
      <c r="S460" s="7"/>
      <c r="T460" s="3"/>
    </row>
    <row r="461" spans="1:20">
      <c r="A461" s="4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5"/>
      <c r="R461" s="3"/>
      <c r="S461" s="7"/>
      <c r="T461" s="3"/>
    </row>
    <row r="462" spans="1:20">
      <c r="A462" s="4"/>
      <c r="B462" s="6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5"/>
      <c r="R462" s="3"/>
      <c r="S462" s="7"/>
      <c r="T462" s="3"/>
    </row>
    <row r="463" spans="1:20">
      <c r="A463" s="4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5"/>
      <c r="R463" s="3"/>
      <c r="S463" s="7"/>
      <c r="T463" s="3"/>
    </row>
    <row r="464" spans="1:20">
      <c r="A464" s="4"/>
      <c r="B464" s="6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5"/>
      <c r="R464" s="3"/>
      <c r="S464" s="7"/>
      <c r="T464" s="3"/>
    </row>
    <row r="465" spans="1:20">
      <c r="A465" s="4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5"/>
      <c r="R465" s="3"/>
      <c r="S465" s="7"/>
      <c r="T465" s="3"/>
    </row>
    <row r="466" spans="1:20">
      <c r="A466" s="4"/>
      <c r="B466" s="6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5"/>
      <c r="R466" s="3"/>
      <c r="S466" s="7"/>
      <c r="T466" s="3"/>
    </row>
    <row r="467" spans="1:20">
      <c r="A467" s="4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5"/>
      <c r="R467" s="3"/>
      <c r="S467" s="7"/>
      <c r="T467" s="3"/>
    </row>
    <row r="468" spans="1:20">
      <c r="A468" s="4"/>
      <c r="B468" s="6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5"/>
      <c r="R468" s="3"/>
      <c r="S468" s="7"/>
      <c r="T468" s="3"/>
    </row>
    <row r="469" spans="1:20">
      <c r="A469" s="4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5"/>
      <c r="R469" s="3"/>
      <c r="S469" s="7"/>
      <c r="T469" s="3"/>
    </row>
    <row r="470" spans="1:20">
      <c r="A470" s="4"/>
      <c r="B470" s="6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5"/>
      <c r="R470" s="3"/>
      <c r="S470" s="7"/>
      <c r="T470" s="3"/>
    </row>
    <row r="471" spans="1:20">
      <c r="A471" s="4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5"/>
      <c r="R471" s="3"/>
      <c r="S471" s="7"/>
      <c r="T471" s="3"/>
    </row>
    <row r="472" spans="1:20">
      <c r="A472" s="4"/>
      <c r="B472" s="6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5"/>
      <c r="R472" s="3"/>
      <c r="S472" s="7"/>
      <c r="T472" s="3"/>
    </row>
    <row r="473" spans="1:20">
      <c r="A473" s="4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5"/>
      <c r="R473" s="3"/>
      <c r="S473" s="7"/>
      <c r="T473" s="3"/>
    </row>
    <row r="474" spans="1:20">
      <c r="A474" s="4"/>
      <c r="B474" s="6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5"/>
      <c r="R474" s="3"/>
      <c r="S474" s="7"/>
      <c r="T474" s="3"/>
    </row>
    <row r="475" spans="1:20">
      <c r="A475" s="4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5"/>
      <c r="R475" s="3"/>
      <c r="S475" s="7"/>
      <c r="T475" s="3"/>
    </row>
    <row r="476" spans="1:20">
      <c r="A476" s="4"/>
      <c r="B476" s="6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5"/>
      <c r="R476" s="3"/>
      <c r="S476" s="7"/>
      <c r="T476" s="3"/>
    </row>
    <row r="477" spans="1:20">
      <c r="A477" s="4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5"/>
      <c r="R477" s="3"/>
      <c r="S477" s="7"/>
      <c r="T477" s="3"/>
    </row>
    <row r="478" spans="1:20">
      <c r="A478" s="4"/>
      <c r="B478" s="6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5"/>
      <c r="R478" s="3"/>
      <c r="S478" s="7"/>
      <c r="T478" s="3"/>
    </row>
    <row r="479" spans="1:20">
      <c r="A479" s="4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5"/>
      <c r="R479" s="3"/>
      <c r="S479" s="7"/>
      <c r="T479" s="3"/>
    </row>
    <row r="480" spans="1:20">
      <c r="A480" s="4"/>
      <c r="B480" s="6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5"/>
      <c r="R480" s="3"/>
      <c r="S480" s="7"/>
      <c r="T480" s="3"/>
    </row>
    <row r="481" spans="1:20">
      <c r="A481" s="4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5"/>
      <c r="R481" s="3"/>
      <c r="S481" s="7"/>
      <c r="T481" s="3"/>
    </row>
    <row r="482" spans="1:20">
      <c r="A482" s="4"/>
      <c r="B482" s="6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5"/>
      <c r="R482" s="3"/>
      <c r="S482" s="7"/>
      <c r="T482" s="3"/>
    </row>
    <row r="483" spans="1:20">
      <c r="A483" s="4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5"/>
      <c r="R483" s="3"/>
      <c r="S483" s="7"/>
      <c r="T483" s="3"/>
    </row>
    <row r="484" spans="1:20">
      <c r="A484" s="4"/>
      <c r="B484" s="6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5"/>
      <c r="R484" s="3"/>
      <c r="S484" s="7"/>
      <c r="T484" s="3"/>
    </row>
    <row r="485" spans="1:20">
      <c r="A485" s="4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5"/>
      <c r="R485" s="3"/>
      <c r="S485" s="7"/>
      <c r="T485" s="3"/>
    </row>
    <row r="486" spans="1:20">
      <c r="A486" s="4"/>
      <c r="B486" s="6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5"/>
      <c r="R486" s="3"/>
      <c r="S486" s="7"/>
      <c r="T486" s="3"/>
    </row>
    <row r="487" spans="1:20">
      <c r="A487" s="4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5"/>
      <c r="R487" s="3"/>
      <c r="S487" s="7"/>
      <c r="T487" s="3"/>
    </row>
    <row r="488" spans="1:20">
      <c r="A488" s="4"/>
      <c r="B488" s="6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5"/>
      <c r="R488" s="3"/>
      <c r="S488" s="7"/>
      <c r="T488" s="3"/>
    </row>
    <row r="489" spans="1:20">
      <c r="A489" s="4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5"/>
      <c r="R489" s="3"/>
      <c r="S489" s="7"/>
      <c r="T489" s="3"/>
    </row>
    <row r="490" spans="1:20">
      <c r="A490" s="4"/>
      <c r="B490" s="6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5"/>
      <c r="R490" s="3"/>
      <c r="S490" s="7"/>
      <c r="T490" s="3"/>
    </row>
    <row r="491" spans="1:20">
      <c r="A491" s="4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5"/>
      <c r="R491" s="3"/>
      <c r="S491" s="7"/>
      <c r="T491" s="3"/>
    </row>
    <row r="492" spans="1:20">
      <c r="A492" s="4"/>
      <c r="B492" s="6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5"/>
      <c r="R492" s="3"/>
      <c r="S492" s="7"/>
      <c r="T492" s="3"/>
    </row>
    <row r="493" spans="1:20">
      <c r="A493" s="4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5"/>
      <c r="R493" s="3"/>
      <c r="S493" s="7"/>
      <c r="T493" s="3"/>
    </row>
    <row r="494" spans="1:20">
      <c r="A494" s="4"/>
      <c r="B494" s="6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5"/>
      <c r="R494" s="3"/>
      <c r="S494" s="7"/>
      <c r="T494" s="3"/>
    </row>
    <row r="495" spans="1:20">
      <c r="A495" s="4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5"/>
      <c r="R495" s="3"/>
      <c r="S495" s="7"/>
      <c r="T495" s="3"/>
    </row>
    <row r="496" spans="1:20">
      <c r="A496" s="4"/>
      <c r="B496" s="6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5"/>
      <c r="R496" s="3"/>
      <c r="S496" s="7"/>
      <c r="T496" s="3"/>
    </row>
    <row r="497" spans="1:20">
      <c r="A497" s="4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5"/>
      <c r="R497" s="3"/>
      <c r="S497" s="7"/>
      <c r="T497" s="3"/>
    </row>
    <row r="498" spans="1:20">
      <c r="A498" s="4"/>
      <c r="B498" s="6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5"/>
      <c r="R498" s="3"/>
      <c r="S498" s="7"/>
      <c r="T498" s="3"/>
    </row>
    <row r="499" spans="1:20">
      <c r="A499" s="4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5"/>
      <c r="R499" s="3"/>
      <c r="S499" s="7"/>
      <c r="T499" s="3"/>
    </row>
    <row r="500" spans="1:20">
      <c r="A500" s="4"/>
      <c r="B500" s="6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5"/>
      <c r="R500" s="3"/>
      <c r="S500" s="7"/>
      <c r="T500" s="3"/>
    </row>
    <row r="501" spans="1:20">
      <c r="A501" s="4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5"/>
      <c r="R501" s="3"/>
      <c r="S501" s="7"/>
      <c r="T501" s="3"/>
    </row>
    <row r="502" spans="1:20">
      <c r="A502" s="4"/>
      <c r="B502" s="6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5"/>
      <c r="R502" s="3"/>
      <c r="S502" s="7"/>
      <c r="T502" s="3"/>
    </row>
    <row r="503" spans="1:20">
      <c r="A503" s="4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5"/>
      <c r="R503" s="3"/>
      <c r="S503" s="7"/>
      <c r="T503" s="3"/>
    </row>
    <row r="504" spans="1:20">
      <c r="A504" s="4"/>
      <c r="B504" s="6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5"/>
      <c r="R504" s="3"/>
      <c r="S504" s="7"/>
      <c r="T504" s="3"/>
    </row>
    <row r="505" spans="1:20">
      <c r="A505" s="4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5"/>
      <c r="R505" s="3"/>
      <c r="S505" s="7"/>
      <c r="T505" s="3"/>
    </row>
    <row r="506" spans="1:20">
      <c r="A506" s="4"/>
      <c r="B506" s="6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5"/>
      <c r="R506" s="3"/>
      <c r="S506" s="7"/>
      <c r="T506" s="3"/>
    </row>
    <row r="507" spans="1:20">
      <c r="A507" s="4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5"/>
      <c r="R507" s="3"/>
      <c r="S507" s="7"/>
      <c r="T507" s="3"/>
    </row>
    <row r="508" spans="1:20">
      <c r="A508" s="4"/>
      <c r="B508" s="6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5"/>
      <c r="R508" s="3"/>
      <c r="S508" s="7"/>
      <c r="T508" s="3"/>
    </row>
    <row r="509" spans="1:20">
      <c r="A509" s="4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5"/>
      <c r="R509" s="3"/>
      <c r="S509" s="7"/>
      <c r="T509" s="3"/>
    </row>
    <row r="510" spans="1:20">
      <c r="A510" s="4"/>
      <c r="B510" s="6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5"/>
      <c r="R510" s="3"/>
      <c r="S510" s="7"/>
      <c r="T510" s="3"/>
    </row>
    <row r="511" spans="1:20">
      <c r="A511" s="4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5"/>
      <c r="R511" s="3"/>
      <c r="S511" s="7"/>
      <c r="T511" s="3"/>
    </row>
    <row r="512" spans="1:20">
      <c r="A512" s="4"/>
      <c r="B512" s="6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5"/>
      <c r="R512" s="3"/>
      <c r="S512" s="7"/>
      <c r="T512" s="3"/>
    </row>
    <row r="513" spans="1:20">
      <c r="A513" s="4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5"/>
      <c r="R513" s="3"/>
      <c r="S513" s="7"/>
      <c r="T513" s="3"/>
    </row>
    <row r="514" spans="1:20">
      <c r="A514" s="4"/>
      <c r="B514" s="6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5"/>
      <c r="R514" s="3"/>
      <c r="S514" s="7"/>
      <c r="T514" s="3"/>
    </row>
    <row r="515" spans="1:20">
      <c r="A515" s="4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5"/>
      <c r="R515" s="3"/>
      <c r="S515" s="7"/>
      <c r="T515" s="3"/>
    </row>
    <row r="516" spans="1:20">
      <c r="A516" s="4"/>
      <c r="B516" s="6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5"/>
      <c r="R516" s="3"/>
      <c r="S516" s="7"/>
      <c r="T516" s="3"/>
    </row>
    <row r="517" spans="1:20">
      <c r="A517" s="4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5"/>
      <c r="R517" s="3"/>
      <c r="S517" s="7"/>
      <c r="T517" s="3"/>
    </row>
    <row r="518" spans="1:20">
      <c r="A518" s="4"/>
      <c r="B518" s="6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5"/>
      <c r="R518" s="3"/>
      <c r="S518" s="7"/>
      <c r="T518" s="3"/>
    </row>
    <row r="519" spans="1:20">
      <c r="A519" s="4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5"/>
      <c r="R519" s="3"/>
      <c r="S519" s="7"/>
      <c r="T519" s="3"/>
    </row>
    <row r="520" spans="1:20">
      <c r="A520" s="4"/>
      <c r="B520" s="6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5"/>
      <c r="R520" s="3"/>
      <c r="S520" s="7"/>
      <c r="T520" s="3"/>
    </row>
    <row r="521" spans="1:20">
      <c r="A521" s="4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5"/>
      <c r="R521" s="3"/>
      <c r="S521" s="7"/>
      <c r="T521" s="3"/>
    </row>
    <row r="522" spans="1:20">
      <c r="A522" s="4"/>
      <c r="B522" s="6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5"/>
      <c r="R522" s="3"/>
      <c r="S522" s="7"/>
      <c r="T522" s="3"/>
    </row>
    <row r="523" spans="1:20">
      <c r="A523" s="4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5"/>
      <c r="R523" s="3"/>
      <c r="S523" s="7"/>
      <c r="T523" s="3"/>
    </row>
    <row r="524" spans="1:20">
      <c r="A524" s="4"/>
      <c r="B524" s="6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5"/>
      <c r="R524" s="3"/>
      <c r="S524" s="7"/>
      <c r="T524" s="3"/>
    </row>
    <row r="525" spans="1:20">
      <c r="A525" s="4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5"/>
      <c r="R525" s="3"/>
      <c r="S525" s="7"/>
      <c r="T525" s="3"/>
    </row>
    <row r="526" spans="1:20">
      <c r="A526" s="4"/>
      <c r="B526" s="6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5"/>
      <c r="R526" s="3"/>
      <c r="S526" s="7"/>
      <c r="T526" s="3"/>
    </row>
    <row r="527" spans="1:20">
      <c r="A527" s="4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5"/>
      <c r="R527" s="3"/>
      <c r="S527" s="7"/>
      <c r="T527" s="3"/>
    </row>
    <row r="528" spans="1:20">
      <c r="A528" s="4"/>
      <c r="B528" s="6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5"/>
      <c r="R528" s="3"/>
      <c r="S528" s="7"/>
      <c r="T528" s="3"/>
    </row>
    <row r="529" spans="1:20">
      <c r="A529" s="4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5"/>
      <c r="R529" s="3"/>
      <c r="S529" s="7"/>
      <c r="T529" s="3"/>
    </row>
    <row r="530" spans="1:20">
      <c r="A530" s="4"/>
      <c r="B530" s="6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5"/>
      <c r="R530" s="3"/>
      <c r="S530" s="7"/>
      <c r="T530" s="3"/>
    </row>
    <row r="531" spans="1:20">
      <c r="A531" s="4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5"/>
      <c r="R531" s="3"/>
      <c r="S531" s="7"/>
      <c r="T531" s="3"/>
    </row>
    <row r="532" spans="1:20">
      <c r="A532" s="4"/>
      <c r="B532" s="6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5"/>
      <c r="R532" s="3"/>
      <c r="S532" s="7"/>
      <c r="T532" s="3"/>
    </row>
    <row r="533" spans="1:20">
      <c r="A533" s="4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5"/>
      <c r="R533" s="3"/>
      <c r="S533" s="7"/>
      <c r="T533" s="3"/>
    </row>
    <row r="534" spans="1:20">
      <c r="A534" s="4"/>
      <c r="B534" s="6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5"/>
      <c r="R534" s="3"/>
      <c r="S534" s="7"/>
      <c r="T534" s="3"/>
    </row>
    <row r="535" spans="1:20">
      <c r="A535" s="4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5"/>
      <c r="R535" s="3"/>
      <c r="S535" s="7"/>
      <c r="T535" s="3"/>
    </row>
    <row r="536" spans="1:20">
      <c r="A536" s="4"/>
      <c r="B536" s="6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5"/>
      <c r="R536" s="3"/>
      <c r="S536" s="7"/>
      <c r="T536" s="3"/>
    </row>
    <row r="537" spans="1:20">
      <c r="A537" s="4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5"/>
      <c r="R537" s="3"/>
      <c r="S537" s="7"/>
      <c r="T537" s="3"/>
    </row>
    <row r="538" spans="1:20">
      <c r="A538" s="4"/>
      <c r="B538" s="6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5"/>
      <c r="R538" s="3"/>
      <c r="S538" s="7"/>
      <c r="T538" s="3"/>
    </row>
    <row r="539" spans="1:20">
      <c r="A539" s="4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5"/>
      <c r="R539" s="3"/>
      <c r="S539" s="7"/>
      <c r="T539" s="3"/>
    </row>
    <row r="540" spans="1:20">
      <c r="A540" s="4"/>
      <c r="B540" s="6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5"/>
      <c r="R540" s="3"/>
      <c r="S540" s="7"/>
      <c r="T540" s="3"/>
    </row>
    <row r="541" spans="1:20">
      <c r="A541" s="4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5"/>
      <c r="R541" s="3"/>
      <c r="S541" s="7"/>
      <c r="T541" s="3"/>
    </row>
    <row r="542" spans="1:20">
      <c r="A542" s="4"/>
      <c r="B542" s="6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5"/>
      <c r="R542" s="3"/>
      <c r="S542" s="7"/>
      <c r="T542" s="3"/>
    </row>
    <row r="543" spans="1:20">
      <c r="A543" s="4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5"/>
      <c r="R543" s="3"/>
      <c r="S543" s="7"/>
      <c r="T543" s="3"/>
    </row>
    <row r="544" spans="1:20">
      <c r="A544" s="4"/>
      <c r="B544" s="6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5"/>
      <c r="R544" s="3"/>
      <c r="S544" s="7"/>
      <c r="T544" s="3"/>
    </row>
    <row r="545" spans="1:20">
      <c r="A545" s="4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5"/>
      <c r="R545" s="3"/>
      <c r="S545" s="7"/>
      <c r="T545" s="3"/>
    </row>
    <row r="546" spans="1:20">
      <c r="A546" s="4"/>
      <c r="B546" s="6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5"/>
      <c r="R546" s="3"/>
      <c r="S546" s="7"/>
      <c r="T546" s="3"/>
    </row>
    <row r="547" spans="1:20">
      <c r="A547" s="4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5"/>
      <c r="R547" s="3"/>
      <c r="S547" s="7"/>
      <c r="T547" s="3"/>
    </row>
    <row r="548" spans="1:20">
      <c r="A548" s="4"/>
      <c r="B548" s="6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5"/>
      <c r="R548" s="3"/>
      <c r="S548" s="7"/>
      <c r="T548" s="3"/>
    </row>
    <row r="549" spans="1:20">
      <c r="A549" s="4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5"/>
      <c r="R549" s="3"/>
      <c r="S549" s="7"/>
      <c r="T549" s="3"/>
    </row>
    <row r="550" spans="1:20">
      <c r="A550" s="4"/>
      <c r="B550" s="6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5"/>
      <c r="R550" s="3"/>
      <c r="S550" s="7"/>
      <c r="T550" s="3"/>
    </row>
    <row r="551" spans="1:20">
      <c r="A551" s="4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5"/>
      <c r="R551" s="3"/>
      <c r="S551" s="7"/>
      <c r="T551" s="3"/>
    </row>
    <row r="552" spans="1:20">
      <c r="A552" s="4"/>
      <c r="B552" s="6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5"/>
      <c r="R552" s="3"/>
      <c r="S552" s="7"/>
      <c r="T552" s="3"/>
    </row>
    <row r="553" spans="1:20">
      <c r="A553" s="4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5"/>
      <c r="R553" s="3"/>
      <c r="S553" s="7"/>
      <c r="T553" s="3"/>
    </row>
    <row r="554" spans="1:20">
      <c r="A554" s="4"/>
      <c r="B554" s="6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5"/>
      <c r="R554" s="3"/>
      <c r="S554" s="7"/>
      <c r="T554" s="3"/>
    </row>
    <row r="555" spans="1:20">
      <c r="A555" s="4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5"/>
      <c r="R555" s="3"/>
      <c r="S555" s="7"/>
      <c r="T555" s="3"/>
    </row>
    <row r="556" spans="1:20">
      <c r="A556" s="4"/>
      <c r="B556" s="6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5"/>
      <c r="R556" s="3"/>
      <c r="S556" s="7"/>
      <c r="T556" s="3"/>
    </row>
    <row r="557" spans="1:20">
      <c r="A557" s="4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5"/>
      <c r="R557" s="3"/>
      <c r="S557" s="7"/>
      <c r="T557" s="3"/>
    </row>
    <row r="558" spans="1:20">
      <c r="A558" s="4"/>
      <c r="B558" s="6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5"/>
      <c r="R558" s="3"/>
      <c r="S558" s="7"/>
      <c r="T558" s="3"/>
    </row>
    <row r="559" spans="1:20">
      <c r="A559" s="4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5"/>
      <c r="R559" s="3"/>
      <c r="S559" s="7"/>
      <c r="T559" s="3"/>
    </row>
    <row r="560" spans="1:20">
      <c r="A560" s="4"/>
      <c r="B560" s="6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5"/>
      <c r="R560" s="3"/>
      <c r="S560" s="7"/>
      <c r="T560" s="3"/>
    </row>
    <row r="561" spans="1:20">
      <c r="A561" s="4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5"/>
      <c r="R561" s="3"/>
      <c r="S561" s="7"/>
      <c r="T561" s="3"/>
    </row>
    <row r="562" spans="1:20">
      <c r="A562" s="4"/>
      <c r="B562" s="6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5"/>
      <c r="R562" s="3"/>
      <c r="S562" s="7"/>
      <c r="T562" s="3"/>
    </row>
    <row r="563" spans="1:20">
      <c r="A563" s="4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5"/>
      <c r="R563" s="3"/>
      <c r="S563" s="7"/>
      <c r="T563" s="3"/>
    </row>
    <row r="564" spans="1:20">
      <c r="A564" s="4"/>
      <c r="B564" s="6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5"/>
      <c r="R564" s="3"/>
      <c r="S564" s="7"/>
      <c r="T564" s="3"/>
    </row>
    <row r="565" spans="1:20">
      <c r="A565" s="4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5"/>
      <c r="R565" s="3"/>
      <c r="S565" s="7"/>
      <c r="T565" s="3"/>
    </row>
    <row r="566" spans="1:20">
      <c r="A566" s="4"/>
      <c r="B566" s="6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5"/>
      <c r="R566" s="3"/>
      <c r="S566" s="7"/>
      <c r="T566" s="3"/>
    </row>
    <row r="567" spans="1:20">
      <c r="A567" s="4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5"/>
      <c r="R567" s="3"/>
      <c r="S567" s="7"/>
      <c r="T567" s="3"/>
    </row>
    <row r="568" spans="1:20">
      <c r="A568" s="4"/>
      <c r="B568" s="6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5"/>
      <c r="R568" s="3"/>
      <c r="S568" s="7"/>
      <c r="T568" s="3"/>
    </row>
    <row r="569" spans="1:20">
      <c r="A569" s="4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5"/>
      <c r="R569" s="3"/>
      <c r="S569" s="7"/>
      <c r="T569" s="3"/>
    </row>
    <row r="570" spans="1:20">
      <c r="A570" s="4"/>
      <c r="B570" s="6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5"/>
      <c r="R570" s="3"/>
      <c r="S570" s="7"/>
      <c r="T570" s="3"/>
    </row>
    <row r="571" spans="1:20">
      <c r="A571" s="4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5"/>
      <c r="R571" s="3"/>
      <c r="S571" s="7"/>
      <c r="T571" s="3"/>
    </row>
    <row r="572" spans="1:20">
      <c r="A572" s="4"/>
      <c r="B572" s="6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5"/>
      <c r="R572" s="3"/>
      <c r="S572" s="7"/>
      <c r="T572" s="3"/>
    </row>
    <row r="573" spans="1:20">
      <c r="A573" s="4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5"/>
      <c r="R573" s="3"/>
      <c r="S573" s="7"/>
      <c r="T573" s="3"/>
    </row>
    <row r="574" spans="1:20">
      <c r="A574" s="4"/>
      <c r="B574" s="6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5"/>
      <c r="R574" s="3"/>
      <c r="S574" s="7"/>
      <c r="T574" s="3"/>
    </row>
    <row r="575" spans="1:20">
      <c r="A575" s="4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5"/>
      <c r="R575" s="3"/>
      <c r="S575" s="7"/>
      <c r="T575" s="3"/>
    </row>
    <row r="576" spans="1:20">
      <c r="A576" s="4"/>
      <c r="B576" s="6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5"/>
      <c r="R576" s="3"/>
      <c r="S576" s="7"/>
      <c r="T576" s="3"/>
    </row>
    <row r="577" spans="1:20">
      <c r="A577" s="4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5"/>
      <c r="R577" s="3"/>
      <c r="S577" s="7"/>
      <c r="T577" s="3"/>
    </row>
    <row r="578" spans="1:20">
      <c r="A578" s="4"/>
      <c r="B578" s="6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5"/>
      <c r="R578" s="3"/>
      <c r="S578" s="7"/>
      <c r="T578" s="3"/>
    </row>
    <row r="579" spans="1:20">
      <c r="A579" s="4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5"/>
      <c r="R579" s="3"/>
      <c r="S579" s="7"/>
      <c r="T579" s="3"/>
    </row>
    <row r="580" spans="1:20">
      <c r="A580" s="4"/>
      <c r="B580" s="6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5"/>
      <c r="R580" s="3"/>
      <c r="S580" s="7"/>
      <c r="T580" s="3"/>
    </row>
    <row r="581" spans="1:20">
      <c r="A581" s="4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5"/>
      <c r="R581" s="3"/>
      <c r="S581" s="7"/>
      <c r="T581" s="3"/>
    </row>
    <row r="582" spans="1:20">
      <c r="A582" s="4"/>
      <c r="B582" s="6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5"/>
      <c r="R582" s="3"/>
      <c r="S582" s="7"/>
      <c r="T582" s="3"/>
    </row>
    <row r="583" spans="1:20">
      <c r="A583" s="4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5"/>
      <c r="R583" s="3"/>
      <c r="S583" s="7"/>
      <c r="T583" s="3"/>
    </row>
    <row r="584" spans="1:20">
      <c r="A584" s="4"/>
      <c r="B584" s="6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5"/>
      <c r="R584" s="3"/>
      <c r="S584" s="7"/>
      <c r="T584" s="3"/>
    </row>
    <row r="585" spans="1:20">
      <c r="A585" s="4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5"/>
      <c r="R585" s="3"/>
      <c r="S585" s="7"/>
      <c r="T585" s="3"/>
    </row>
    <row r="586" spans="1:20">
      <c r="A586" s="4"/>
      <c r="B586" s="6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5"/>
      <c r="R586" s="3"/>
      <c r="S586" s="7"/>
      <c r="T586" s="3"/>
    </row>
    <row r="587" spans="1:20">
      <c r="A587" s="4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5"/>
      <c r="R587" s="3"/>
      <c r="S587" s="7"/>
      <c r="T587" s="3"/>
    </row>
    <row r="588" spans="1:20">
      <c r="A588" s="4"/>
      <c r="B588" s="6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5"/>
      <c r="R588" s="3"/>
      <c r="S588" s="7"/>
      <c r="T588" s="3"/>
    </row>
    <row r="589" spans="1:20">
      <c r="A589" s="4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5"/>
      <c r="R589" s="3"/>
      <c r="S589" s="7"/>
      <c r="T589" s="3"/>
    </row>
    <row r="590" spans="1:20">
      <c r="A590" s="4"/>
      <c r="B590" s="6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5"/>
      <c r="R590" s="3"/>
      <c r="S590" s="7"/>
      <c r="T590" s="3"/>
    </row>
    <row r="591" spans="1:20">
      <c r="A591" s="4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5"/>
      <c r="R591" s="3"/>
      <c r="S591" s="7"/>
      <c r="T591" s="3"/>
    </row>
    <row r="592" spans="1:20">
      <c r="A592" s="4"/>
      <c r="B592" s="6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5"/>
      <c r="R592" s="3"/>
      <c r="S592" s="7"/>
      <c r="T592" s="3"/>
    </row>
    <row r="593" spans="1:20">
      <c r="A593" s="4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5"/>
      <c r="R593" s="3"/>
      <c r="S593" s="7"/>
      <c r="T593" s="3"/>
    </row>
    <row r="594" spans="1:20">
      <c r="A594" s="4"/>
      <c r="B594" s="6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5"/>
      <c r="R594" s="3"/>
      <c r="S594" s="7"/>
      <c r="T594" s="3"/>
    </row>
    <row r="595" spans="1:20">
      <c r="A595" s="4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5"/>
      <c r="R595" s="3"/>
      <c r="S595" s="7"/>
      <c r="T595" s="3"/>
    </row>
    <row r="596" spans="1:20">
      <c r="A596" s="4"/>
      <c r="B596" s="6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5"/>
      <c r="R596" s="3"/>
      <c r="S596" s="7"/>
      <c r="T596" s="3"/>
    </row>
    <row r="597" spans="1:20">
      <c r="A597" s="4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5"/>
      <c r="R597" s="3"/>
      <c r="S597" s="7"/>
      <c r="T597" s="3"/>
    </row>
    <row r="598" spans="1:20">
      <c r="A598" s="4"/>
      <c r="B598" s="6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5"/>
      <c r="R598" s="3"/>
      <c r="S598" s="7"/>
      <c r="T598" s="3"/>
    </row>
    <row r="599" spans="1:20">
      <c r="A599" s="4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5"/>
      <c r="R599" s="3"/>
      <c r="S599" s="7"/>
      <c r="T599" s="3"/>
    </row>
    <row r="600" spans="1:20">
      <c r="A600" s="4"/>
      <c r="B600" s="6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5"/>
      <c r="R600" s="3"/>
      <c r="S600" s="7"/>
      <c r="T600" s="3"/>
    </row>
    <row r="601" spans="1:20">
      <c r="A601" s="4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5"/>
      <c r="R601" s="3"/>
      <c r="S601" s="7"/>
      <c r="T601" s="3"/>
    </row>
    <row r="602" spans="1:20">
      <c r="A602" s="4"/>
      <c r="B602" s="6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5"/>
      <c r="R602" s="3"/>
      <c r="S602" s="7"/>
      <c r="T602" s="3"/>
    </row>
    <row r="603" spans="1:20">
      <c r="A603" s="4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5"/>
      <c r="R603" s="3"/>
      <c r="S603" s="7"/>
      <c r="T603" s="3"/>
    </row>
    <row r="604" spans="1:20">
      <c r="A604" s="4"/>
      <c r="B604" s="6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5"/>
      <c r="R604" s="3"/>
      <c r="S604" s="7"/>
      <c r="T604" s="3"/>
    </row>
    <row r="605" spans="1:20">
      <c r="A605" s="4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5"/>
      <c r="R605" s="3"/>
      <c r="S605" s="7"/>
      <c r="T605" s="3"/>
    </row>
    <row r="606" spans="1:20">
      <c r="A606" s="4"/>
      <c r="B606" s="6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5"/>
      <c r="R606" s="3"/>
      <c r="S606" s="7"/>
      <c r="T606" s="3"/>
    </row>
    <row r="607" spans="1:20">
      <c r="A607" s="4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5"/>
      <c r="R607" s="3"/>
      <c r="S607" s="7"/>
      <c r="T607" s="3"/>
    </row>
    <row r="608" spans="1:20">
      <c r="A608" s="4"/>
      <c r="B608" s="6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5"/>
      <c r="R608" s="3"/>
      <c r="S608" s="7"/>
      <c r="T608" s="3"/>
    </row>
    <row r="609" spans="1:20">
      <c r="A609" s="4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5"/>
      <c r="R609" s="3"/>
      <c r="S609" s="7"/>
      <c r="T609" s="3"/>
    </row>
    <row r="610" spans="1:20">
      <c r="A610" s="4"/>
      <c r="B610" s="6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5"/>
      <c r="R610" s="3"/>
      <c r="S610" s="7"/>
      <c r="T610" s="3"/>
    </row>
    <row r="611" spans="1:20">
      <c r="A611" s="4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5"/>
      <c r="R611" s="3"/>
      <c r="S611" s="7"/>
      <c r="T611" s="3"/>
    </row>
    <row r="612" spans="1:20">
      <c r="A612" s="4"/>
      <c r="B612" s="6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5"/>
      <c r="R612" s="3"/>
      <c r="S612" s="7"/>
      <c r="T612" s="3"/>
    </row>
    <row r="613" spans="1:20">
      <c r="A613" s="4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5"/>
      <c r="R613" s="3"/>
      <c r="S613" s="7"/>
      <c r="T613" s="3"/>
    </row>
    <row r="614" spans="1:20">
      <c r="A614" s="4"/>
      <c r="B614" s="6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5"/>
      <c r="R614" s="3"/>
      <c r="S614" s="7"/>
      <c r="T614" s="3"/>
    </row>
    <row r="615" spans="1:20">
      <c r="A615" s="4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5"/>
      <c r="R615" s="3"/>
      <c r="S615" s="7"/>
      <c r="T615" s="3"/>
    </row>
    <row r="616" spans="1:20">
      <c r="A616" s="4"/>
      <c r="B616" s="6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5"/>
      <c r="R616" s="3"/>
      <c r="S616" s="7"/>
      <c r="T616" s="3"/>
    </row>
    <row r="617" spans="1:20">
      <c r="A617" s="4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5"/>
      <c r="R617" s="3"/>
      <c r="S617" s="7"/>
      <c r="T617" s="3"/>
    </row>
    <row r="618" spans="1:20">
      <c r="A618" s="4"/>
      <c r="B618" s="6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5"/>
      <c r="R618" s="3"/>
      <c r="S618" s="7"/>
      <c r="T618" s="3"/>
    </row>
    <row r="619" spans="1:20">
      <c r="A619" s="4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5"/>
      <c r="R619" s="3"/>
      <c r="S619" s="7"/>
      <c r="T619" s="3"/>
    </row>
    <row r="620" spans="1:20">
      <c r="A620" s="4"/>
      <c r="B620" s="6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5"/>
      <c r="R620" s="3"/>
      <c r="S620" s="7"/>
      <c r="T620" s="3"/>
    </row>
    <row r="621" spans="1:20">
      <c r="A621" s="4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5"/>
      <c r="R621" s="3"/>
      <c r="S621" s="7"/>
      <c r="T621" s="3"/>
    </row>
    <row r="622" spans="1:20">
      <c r="A622" s="4"/>
      <c r="B622" s="6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5"/>
      <c r="R622" s="3"/>
      <c r="S622" s="7"/>
      <c r="T622" s="3"/>
    </row>
    <row r="623" spans="1:20">
      <c r="A623" s="4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5"/>
      <c r="R623" s="3"/>
      <c r="S623" s="7"/>
      <c r="T623" s="3"/>
    </row>
    <row r="624" spans="1:20">
      <c r="A624" s="4"/>
      <c r="B624" s="6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5"/>
      <c r="R624" s="3"/>
      <c r="S624" s="7"/>
      <c r="T624" s="3"/>
    </row>
    <row r="625" spans="1:20">
      <c r="A625" s="4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5"/>
      <c r="R625" s="3"/>
      <c r="S625" s="7"/>
      <c r="T625" s="3"/>
    </row>
    <row r="626" spans="1:20">
      <c r="A626" s="4"/>
      <c r="B626" s="6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5"/>
      <c r="R626" s="3"/>
      <c r="S626" s="7"/>
      <c r="T626" s="3"/>
    </row>
    <row r="627" spans="1:20">
      <c r="A627" s="4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5"/>
      <c r="R627" s="3"/>
      <c r="S627" s="7"/>
      <c r="T627" s="3"/>
    </row>
    <row r="628" spans="1:20">
      <c r="A628" s="4"/>
      <c r="B628" s="6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5"/>
      <c r="R628" s="3"/>
      <c r="S628" s="7"/>
      <c r="T628" s="3"/>
    </row>
    <row r="629" spans="1:20">
      <c r="A629" s="4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5"/>
      <c r="R629" s="3"/>
      <c r="S629" s="7"/>
      <c r="T629" s="3"/>
    </row>
    <row r="630" spans="1:20">
      <c r="A630" s="4"/>
      <c r="B630" s="6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5"/>
      <c r="R630" s="3"/>
      <c r="S630" s="7"/>
      <c r="T630" s="3"/>
    </row>
    <row r="631" spans="1:20">
      <c r="A631" s="4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5"/>
      <c r="R631" s="3"/>
      <c r="S631" s="7"/>
      <c r="T631" s="3"/>
    </row>
    <row r="632" spans="1:20">
      <c r="A632" s="4"/>
      <c r="B632" s="6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5"/>
      <c r="R632" s="3"/>
      <c r="S632" s="7"/>
      <c r="T632" s="3"/>
    </row>
    <row r="633" spans="1:20">
      <c r="A633" s="4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5"/>
      <c r="R633" s="3"/>
      <c r="S633" s="7"/>
      <c r="T633" s="3"/>
    </row>
    <row r="634" spans="1:20">
      <c r="A634" s="4"/>
      <c r="B634" s="6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5"/>
      <c r="R634" s="3"/>
      <c r="S634" s="7"/>
      <c r="T634" s="3"/>
    </row>
    <row r="635" spans="1:20">
      <c r="A635" s="4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5"/>
      <c r="R635" s="3"/>
      <c r="S635" s="7"/>
      <c r="T635" s="3"/>
    </row>
    <row r="636" spans="1:20">
      <c r="A636" s="4"/>
      <c r="B636" s="6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5"/>
      <c r="R636" s="3"/>
      <c r="S636" s="7"/>
      <c r="T636" s="3"/>
    </row>
    <row r="637" spans="1:20">
      <c r="A637" s="4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5"/>
      <c r="R637" s="3"/>
      <c r="S637" s="7"/>
      <c r="T637" s="3"/>
    </row>
    <row r="638" spans="1:20">
      <c r="A638" s="4"/>
      <c r="B638" s="6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5"/>
      <c r="R638" s="3"/>
      <c r="S638" s="7"/>
      <c r="T638" s="3"/>
    </row>
    <row r="639" spans="1:20">
      <c r="A639" s="4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5"/>
      <c r="R639" s="3"/>
      <c r="S639" s="7"/>
      <c r="T639" s="3"/>
    </row>
    <row r="640" spans="1:20">
      <c r="A640" s="4"/>
      <c r="B640" s="6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5"/>
      <c r="R640" s="3"/>
      <c r="S640" s="7"/>
      <c r="T640" s="3"/>
    </row>
    <row r="641" spans="1:20">
      <c r="A641" s="4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5"/>
      <c r="R641" s="3"/>
      <c r="S641" s="7"/>
      <c r="T641" s="3"/>
    </row>
    <row r="642" spans="1:20">
      <c r="A642" s="4"/>
      <c r="B642" s="6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5"/>
      <c r="R642" s="3"/>
      <c r="S642" s="7"/>
      <c r="T642" s="3"/>
    </row>
    <row r="643" spans="1:20">
      <c r="A643" s="4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5"/>
      <c r="R643" s="3"/>
      <c r="S643" s="7"/>
      <c r="T643" s="3"/>
    </row>
    <row r="644" spans="1:20">
      <c r="A644" s="4"/>
      <c r="B644" s="6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5"/>
      <c r="R644" s="3"/>
      <c r="S644" s="7"/>
      <c r="T644" s="3"/>
    </row>
    <row r="645" spans="1:20">
      <c r="A645" s="4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5"/>
      <c r="R645" s="3"/>
      <c r="S645" s="7"/>
      <c r="T645" s="3"/>
    </row>
    <row r="646" spans="1:20">
      <c r="A646" s="4"/>
      <c r="B646" s="6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5"/>
      <c r="R646" s="3"/>
      <c r="S646" s="7"/>
      <c r="T646" s="3"/>
    </row>
    <row r="647" spans="1:20">
      <c r="A647" s="4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5"/>
      <c r="R647" s="3"/>
      <c r="S647" s="7"/>
      <c r="T647" s="3"/>
    </row>
    <row r="648" spans="1:20">
      <c r="A648" s="4"/>
      <c r="B648" s="6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5"/>
      <c r="R648" s="3"/>
      <c r="S648" s="7"/>
      <c r="T648" s="3"/>
    </row>
    <row r="649" spans="1:20">
      <c r="A649" s="4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5"/>
      <c r="R649" s="3"/>
      <c r="S649" s="7"/>
      <c r="T649" s="3"/>
    </row>
    <row r="650" spans="1:20">
      <c r="A650" s="4"/>
      <c r="B650" s="6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5"/>
      <c r="R650" s="3"/>
      <c r="S650" s="7"/>
      <c r="T650" s="3"/>
    </row>
    <row r="651" spans="1:20">
      <c r="A651" s="4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5"/>
      <c r="R651" s="3"/>
      <c r="S651" s="7"/>
      <c r="T651" s="3"/>
    </row>
    <row r="652" spans="1:20">
      <c r="A652" s="4"/>
      <c r="B652" s="6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5"/>
      <c r="R652" s="3"/>
      <c r="S652" s="7"/>
      <c r="T652" s="3"/>
    </row>
    <row r="653" spans="1:20">
      <c r="A653" s="4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5"/>
      <c r="R653" s="3"/>
      <c r="S653" s="7"/>
      <c r="T653" s="3"/>
    </row>
    <row r="654" spans="1:20">
      <c r="A654" s="4"/>
      <c r="B654" s="6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5"/>
      <c r="R654" s="3"/>
      <c r="S654" s="7"/>
      <c r="T654" s="3"/>
    </row>
    <row r="655" spans="1:20">
      <c r="A655" s="4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5"/>
      <c r="R655" s="3"/>
      <c r="S655" s="7"/>
      <c r="T655" s="3"/>
    </row>
    <row r="656" spans="1:20">
      <c r="A656" s="4"/>
      <c r="B656" s="6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5"/>
      <c r="R656" s="3"/>
      <c r="S656" s="7"/>
      <c r="T656" s="3"/>
    </row>
    <row r="657" spans="1:20">
      <c r="A657" s="4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5"/>
      <c r="R657" s="3"/>
      <c r="S657" s="7"/>
      <c r="T657" s="3"/>
    </row>
    <row r="658" spans="1:20">
      <c r="A658" s="4"/>
      <c r="B658" s="6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5"/>
      <c r="R658" s="3"/>
      <c r="S658" s="7"/>
      <c r="T658" s="3"/>
    </row>
    <row r="659" spans="1:20">
      <c r="A659" s="4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5"/>
      <c r="R659" s="3"/>
      <c r="S659" s="7"/>
      <c r="T659" s="3"/>
    </row>
    <row r="660" spans="1:20">
      <c r="A660" s="4"/>
      <c r="B660" s="6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5"/>
      <c r="R660" s="3"/>
      <c r="S660" s="7"/>
      <c r="T660" s="3"/>
    </row>
    <row r="661" spans="1:20">
      <c r="A661" s="4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5"/>
      <c r="R661" s="3"/>
      <c r="S661" s="7"/>
      <c r="T661" s="3"/>
    </row>
    <row r="662" spans="1:20">
      <c r="A662" s="4"/>
      <c r="B662" s="6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5"/>
      <c r="R662" s="3"/>
      <c r="S662" s="7"/>
      <c r="T662" s="3"/>
    </row>
    <row r="663" spans="1:20">
      <c r="A663" s="4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5"/>
      <c r="R663" s="3"/>
      <c r="S663" s="7"/>
      <c r="T663" s="3"/>
    </row>
    <row r="664" spans="1:20">
      <c r="A664" s="4"/>
      <c r="B664" s="6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5"/>
      <c r="R664" s="3"/>
      <c r="S664" s="7"/>
      <c r="T664" s="3"/>
    </row>
    <row r="665" spans="1:20">
      <c r="A665" s="4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5"/>
      <c r="R665" s="3"/>
      <c r="S665" s="7"/>
      <c r="T665" s="3"/>
    </row>
    <row r="666" spans="1:20">
      <c r="A666" s="4"/>
      <c r="B666" s="6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5"/>
      <c r="R666" s="3"/>
      <c r="S666" s="7"/>
      <c r="T666" s="3"/>
    </row>
    <row r="667" spans="1:20">
      <c r="A667" s="4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5"/>
      <c r="R667" s="3"/>
      <c r="S667" s="7"/>
      <c r="T667" s="3"/>
    </row>
    <row r="668" spans="1:20">
      <c r="A668" s="4"/>
      <c r="B668" s="6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5"/>
      <c r="R668" s="3"/>
      <c r="S668" s="7"/>
      <c r="T668" s="3"/>
    </row>
    <row r="669" spans="1:20">
      <c r="A669" s="4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5"/>
      <c r="R669" s="3"/>
      <c r="S669" s="7"/>
      <c r="T669" s="3"/>
    </row>
    <row r="670" spans="1:20">
      <c r="A670" s="4"/>
      <c r="B670" s="6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5"/>
      <c r="R670" s="3"/>
      <c r="S670" s="7"/>
      <c r="T670" s="3"/>
    </row>
    <row r="671" spans="1:20">
      <c r="A671" s="4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5"/>
      <c r="R671" s="3"/>
      <c r="S671" s="7"/>
      <c r="T671" s="3"/>
    </row>
    <row r="672" spans="1:20">
      <c r="A672" s="4"/>
      <c r="B672" s="6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5"/>
      <c r="R672" s="3"/>
      <c r="S672" s="7"/>
      <c r="T672" s="3"/>
    </row>
    <row r="673" spans="1:20">
      <c r="A673" s="4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5"/>
      <c r="R673" s="3"/>
      <c r="S673" s="7"/>
      <c r="T673" s="3"/>
    </row>
    <row r="674" spans="1:20">
      <c r="A674" s="4"/>
      <c r="B674" s="6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5"/>
      <c r="R674" s="3"/>
      <c r="S674" s="7"/>
      <c r="T674" s="3"/>
    </row>
    <row r="675" spans="1:20">
      <c r="A675" s="4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5"/>
      <c r="R675" s="3"/>
      <c r="S675" s="7"/>
      <c r="T675" s="3"/>
    </row>
    <row r="676" spans="1:20">
      <c r="A676" s="4"/>
      <c r="B676" s="6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5"/>
      <c r="R676" s="3"/>
      <c r="S676" s="7"/>
      <c r="T676" s="3"/>
    </row>
    <row r="677" spans="1:20">
      <c r="A677" s="4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5"/>
      <c r="R677" s="3"/>
      <c r="S677" s="7"/>
      <c r="T677" s="3"/>
    </row>
    <row r="678" spans="1:20">
      <c r="A678" s="4"/>
      <c r="B678" s="6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5"/>
      <c r="R678" s="3"/>
      <c r="S678" s="7"/>
      <c r="T678" s="3"/>
    </row>
    <row r="679" spans="1:20">
      <c r="A679" s="4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5"/>
      <c r="R679" s="3"/>
      <c r="S679" s="7"/>
      <c r="T679" s="3"/>
    </row>
    <row r="680" spans="1:20">
      <c r="A680" s="4"/>
      <c r="B680" s="6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5"/>
      <c r="R680" s="3"/>
      <c r="S680" s="7"/>
      <c r="T680" s="3"/>
    </row>
    <row r="681" spans="1:20">
      <c r="A681" s="4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5"/>
      <c r="R681" s="3"/>
      <c r="S681" s="7"/>
      <c r="T681" s="3"/>
    </row>
    <row r="682" spans="1:20">
      <c r="A682" s="4"/>
      <c r="B682" s="6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5"/>
      <c r="R682" s="3"/>
      <c r="S682" s="7"/>
      <c r="T682" s="3"/>
    </row>
    <row r="683" spans="1:20">
      <c r="A683" s="4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5"/>
      <c r="R683" s="3"/>
      <c r="S683" s="7"/>
      <c r="T683" s="3"/>
    </row>
    <row r="684" spans="1:20">
      <c r="A684" s="4"/>
      <c r="B684" s="6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5"/>
      <c r="R684" s="3"/>
      <c r="S684" s="7"/>
      <c r="T684" s="3"/>
    </row>
    <row r="685" spans="1:20">
      <c r="A685" s="4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5"/>
      <c r="R685" s="3"/>
      <c r="S685" s="7"/>
      <c r="T685" s="3"/>
    </row>
    <row r="686" spans="1:20">
      <c r="A686" s="4"/>
      <c r="B686" s="6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5"/>
      <c r="R686" s="3"/>
      <c r="S686" s="7"/>
      <c r="T686" s="3"/>
    </row>
    <row r="687" spans="1:20">
      <c r="A687" s="4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5"/>
      <c r="R687" s="3"/>
      <c r="S687" s="7"/>
      <c r="T687" s="3"/>
    </row>
    <row r="688" spans="1:20">
      <c r="A688" s="4"/>
      <c r="B688" s="6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5"/>
      <c r="R688" s="3"/>
      <c r="S688" s="7"/>
      <c r="T688" s="3"/>
    </row>
    <row r="689" spans="1:20">
      <c r="A689" s="4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5"/>
      <c r="R689" s="3"/>
      <c r="S689" s="7"/>
      <c r="T689" s="3"/>
    </row>
    <row r="690" spans="1:20">
      <c r="A690" s="4"/>
      <c r="B690" s="6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5"/>
      <c r="R690" s="3"/>
      <c r="S690" s="7"/>
      <c r="T690" s="3"/>
    </row>
    <row r="691" spans="1:20">
      <c r="A691" s="4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5"/>
      <c r="R691" s="3"/>
      <c r="S691" s="7"/>
      <c r="T691" s="3"/>
    </row>
  </sheetData>
  <mergeCells count="1">
    <mergeCell ref="A1:E6"/>
  </mergeCells>
  <phoneticPr fontId="6" type="noConversion"/>
  <hyperlinks>
    <hyperlink ref="B53" r:id="rId1" xr:uid="{60E91EB8-6656-4002-91E6-4923AD1DC781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40A6D-410E-4EAD-A2FB-E52C6ED51960}">
  <sheetPr codeName="Sheet4"/>
  <dimension ref="A1:F6"/>
  <sheetViews>
    <sheetView showGridLines="0" zoomScale="80" zoomScaleNormal="80" workbookViewId="0">
      <selection activeCell="I18" sqref="I18"/>
    </sheetView>
  </sheetViews>
  <sheetFormatPr defaultColWidth="8.90625" defaultRowHeight="13.8"/>
  <cols>
    <col min="1" max="16384" width="8.90625" style="1"/>
  </cols>
  <sheetData>
    <row r="1" spans="1:6" s="9" customFormat="1" ht="15" customHeight="1">
      <c r="A1" s="11"/>
      <c r="B1" s="12"/>
      <c r="C1" s="12"/>
      <c r="D1" s="12"/>
      <c r="E1" s="12"/>
      <c r="F1" s="8"/>
    </row>
    <row r="2" spans="1:6" s="9" customFormat="1" ht="15" customHeight="1">
      <c r="A2" s="12"/>
      <c r="B2" s="12"/>
      <c r="C2" s="12"/>
      <c r="D2" s="12"/>
      <c r="E2" s="12"/>
      <c r="F2" s="8"/>
    </row>
    <row r="3" spans="1:6" s="9" customFormat="1" ht="15" customHeight="1">
      <c r="A3" s="12"/>
      <c r="B3" s="12"/>
      <c r="C3" s="12"/>
      <c r="D3" s="12"/>
      <c r="E3" s="12"/>
      <c r="F3" s="8"/>
    </row>
    <row r="4" spans="1:6" s="9" customFormat="1" ht="15" customHeight="1">
      <c r="A4" s="12"/>
      <c r="B4" s="12"/>
      <c r="C4" s="12"/>
      <c r="D4" s="12"/>
      <c r="E4" s="12"/>
      <c r="F4" s="8"/>
    </row>
    <row r="5" spans="1:6" s="9" customFormat="1">
      <c r="A5" s="12"/>
      <c r="B5" s="12"/>
      <c r="C5" s="12"/>
      <c r="D5" s="12"/>
      <c r="E5" s="12"/>
    </row>
    <row r="6" spans="1:6" s="9" customFormat="1">
      <c r="A6" s="12"/>
      <c r="B6" s="12"/>
      <c r="C6" s="12"/>
      <c r="D6" s="12"/>
      <c r="E6" s="12"/>
    </row>
  </sheetData>
  <mergeCells count="1">
    <mergeCell ref="A1:E6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6E7D7-244A-42CF-A9CA-B6A502F10E53}">
  <sheetPr codeName="Sheet5"/>
  <dimension ref="A1:I6"/>
  <sheetViews>
    <sheetView workbookViewId="0">
      <selection activeCell="B13" sqref="B13"/>
    </sheetView>
  </sheetViews>
  <sheetFormatPr defaultRowHeight="13.8"/>
  <cols>
    <col min="1" max="2" width="20.81640625" customWidth="1"/>
    <col min="3" max="3" width="11.6328125" customWidth="1"/>
    <col min="5" max="5" width="11" customWidth="1"/>
    <col min="7" max="7" width="13.6328125" customWidth="1"/>
    <col min="9" max="9" width="85.36328125" customWidth="1"/>
  </cols>
  <sheetData>
    <row r="1" spans="1:9">
      <c r="A1" t="s">
        <v>150</v>
      </c>
      <c r="C1" t="s">
        <v>151</v>
      </c>
      <c r="E1" t="s">
        <v>152</v>
      </c>
      <c r="G1" t="s">
        <v>153</v>
      </c>
      <c r="I1" s="10" t="s">
        <v>8</v>
      </c>
    </row>
    <row r="2" spans="1:9">
      <c r="A2" t="s">
        <v>31</v>
      </c>
      <c r="C2" t="s">
        <v>103</v>
      </c>
      <c r="E2" t="s">
        <v>154</v>
      </c>
      <c r="G2" t="s">
        <v>33</v>
      </c>
      <c r="I2" t="s">
        <v>155</v>
      </c>
    </row>
    <row r="3" spans="1:9">
      <c r="A3" t="s">
        <v>20</v>
      </c>
      <c r="C3" t="s">
        <v>156</v>
      </c>
      <c r="E3" t="s">
        <v>45</v>
      </c>
      <c r="G3" t="s">
        <v>157</v>
      </c>
      <c r="I3" t="s">
        <v>34</v>
      </c>
    </row>
    <row r="4" spans="1:9">
      <c r="A4" t="s">
        <v>55</v>
      </c>
      <c r="C4" t="s">
        <v>158</v>
      </c>
      <c r="E4" t="s">
        <v>60</v>
      </c>
      <c r="G4" t="s">
        <v>159</v>
      </c>
      <c r="I4" t="s">
        <v>22</v>
      </c>
    </row>
    <row r="5" spans="1:9">
      <c r="A5" t="s">
        <v>42</v>
      </c>
      <c r="C5" t="s">
        <v>17</v>
      </c>
      <c r="E5" t="s">
        <v>32</v>
      </c>
      <c r="G5" t="s">
        <v>21</v>
      </c>
      <c r="I5" t="s">
        <v>160</v>
      </c>
    </row>
    <row r="6" spans="1:9">
      <c r="A6" t="s">
        <v>18</v>
      </c>
      <c r="C6" t="s">
        <v>127</v>
      </c>
      <c r="E6" t="s">
        <v>161</v>
      </c>
      <c r="I6" t="s">
        <v>162</v>
      </c>
    </row>
  </sheetData>
  <pageMargins left="0.7" right="0.7" top="0.75" bottom="0.75" header="0.3" footer="0.3"/>
  <pageSetup paperSize="9" orientation="portrait" horizontalDpi="30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819AC619-6541-49F0-AF1F-62D426620523}">
  <ds:schemaRefs/>
</ds:datastoreItem>
</file>

<file path=customXml/itemProps2.xml><?xml version="1.0" encoding="utf-8"?>
<ds:datastoreItem xmlns:ds="http://schemas.openxmlformats.org/officeDocument/2006/customXml" ds:itemID="{226BE396-3AB1-4486-A2A2-1F8C19C8D0FE}">
  <ds:schemaRefs/>
</ds:datastoreItem>
</file>

<file path=customXml/itemProps3.xml><?xml version="1.0" encoding="utf-8"?>
<ds:datastoreItem xmlns:ds="http://schemas.openxmlformats.org/officeDocument/2006/customXml" ds:itemID="{C7C953EB-B3F6-4838-B488-83ACF0458D90}">
  <ds:schemaRefs/>
</ds:datastoreItem>
</file>

<file path=customXml/itemProps4.xml><?xml version="1.0" encoding="utf-8"?>
<ds:datastoreItem xmlns:ds="http://schemas.openxmlformats.org/officeDocument/2006/customXml" ds:itemID="{67F6D02E-11FC-421F-9061-AACF80D5E1FE}">
  <ds:schemaRefs/>
</ds:datastoreItem>
</file>

<file path=customXml/itemProps5.xml><?xml version="1.0" encoding="utf-8"?>
<ds:datastoreItem xmlns:ds="http://schemas.openxmlformats.org/officeDocument/2006/customXml" ds:itemID="{863FFD55-86D1-4BDF-B2EC-587B3E171781}">
  <ds:schemaRefs/>
</ds:datastoreItem>
</file>

<file path=customXml/itemProps6.xml><?xml version="1.0" encoding="utf-8"?>
<ds:datastoreItem xmlns:ds="http://schemas.openxmlformats.org/officeDocument/2006/customXml" ds:itemID="{5FC9BA7B-8907-48C0-B2A7-75B676C83082}">
  <ds:schemaRefs/>
</ds:datastoreItem>
</file>

<file path=customXml/itemProps7.xml><?xml version="1.0" encoding="utf-8"?>
<ds:datastoreItem xmlns:ds="http://schemas.openxmlformats.org/officeDocument/2006/customXml" ds:itemID="{0994A70C-BB05-4543-AC26-C227D0473B2F}">
  <ds:schemaRefs/>
</ds:datastoreItem>
</file>

<file path=customXml/itemProps8.xml><?xml version="1.0" encoding="utf-8"?>
<ds:datastoreItem xmlns:ds="http://schemas.openxmlformats.org/officeDocument/2006/customXml" ds:itemID="{6FA4B302-67F7-400E-95F2-7C2DB1C703F5}">
  <ds:schemaRefs/>
</ds:datastoreItem>
</file>

<file path=customXml/itemProps9.xml><?xml version="1.0" encoding="utf-8"?>
<ds:datastoreItem xmlns:ds="http://schemas.openxmlformats.org/officeDocument/2006/customXml" ds:itemID="{FB437CC6-9122-4DDC-9098-9BBADE6E7DBA}">
  <ds:schemaRefs/>
</ds:datastoreItem>
</file>

<file path=customXml/itemProps10.xml><?xml version="1.0" encoding="utf-8"?>
<ds:datastoreItem xmlns:ds="http://schemas.openxmlformats.org/officeDocument/2006/customXml" ds:itemID="{E3BBFA9E-73A5-4E2A-8953-0B6472BC0CC8}">
  <ds:schemaRefs/>
</ds:datastoreItem>
</file>

<file path=customXml/itemProps11.xml><?xml version="1.0" encoding="utf-8"?>
<ds:datastoreItem xmlns:ds="http://schemas.openxmlformats.org/officeDocument/2006/customXml" ds:itemID="{C839D123-B2D4-461D-8FBB-7FF55FE359EC}">
  <ds:schemaRefs/>
</ds:datastoreItem>
</file>

<file path=customXml/itemProps12.xml><?xml version="1.0" encoding="utf-8"?>
<ds:datastoreItem xmlns:ds="http://schemas.openxmlformats.org/officeDocument/2006/customXml" ds:itemID="{0C1870FE-C6FF-4089-B912-8FA05D6D7338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9BB86DE3-B2F0-42B9-90BD-081CEA965DC0}">
  <ds:schemaRefs/>
</ds:datastoreItem>
</file>

<file path=customXml/itemProps14.xml><?xml version="1.0" encoding="utf-8"?>
<ds:datastoreItem xmlns:ds="http://schemas.openxmlformats.org/officeDocument/2006/customXml" ds:itemID="{7CF4436E-310C-4905-8FA6-E7E20431E17B}">
  <ds:schemaRefs/>
</ds:datastoreItem>
</file>

<file path=customXml/itemProps15.xml><?xml version="1.0" encoding="utf-8"?>
<ds:datastoreItem xmlns:ds="http://schemas.openxmlformats.org/officeDocument/2006/customXml" ds:itemID="{A28FDBED-4B0B-4864-9BAA-F243708D42BA}">
  <ds:schemaRefs/>
</ds:datastoreItem>
</file>

<file path=customXml/itemProps16.xml><?xml version="1.0" encoding="utf-8"?>
<ds:datastoreItem xmlns:ds="http://schemas.openxmlformats.org/officeDocument/2006/customXml" ds:itemID="{E422983C-1E61-4199-9F47-BA2BFAB5FBB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MENU</vt:lpstr>
      <vt:lpstr>DASHBOARD</vt:lpstr>
      <vt:lpstr>BACKEND</vt:lpstr>
      <vt:lpstr>INFO</vt:lpstr>
      <vt:lpstr>Listas</vt:lpstr>
      <vt:lpstr>listafrequencia</vt:lpstr>
      <vt:lpstr>listamodal</vt:lpstr>
      <vt:lpstr>listaregiao</vt:lpstr>
      <vt:lpstr>listarenda</vt:lpstr>
      <vt:lpstr>listavalor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</dc:creator>
  <cp:lastModifiedBy>Allyssia Nascimento</cp:lastModifiedBy>
  <dcterms:created xsi:type="dcterms:W3CDTF">2023-05-08T12:40:34Z</dcterms:created>
  <dcterms:modified xsi:type="dcterms:W3CDTF">2023-05-26T03:04:52Z</dcterms:modified>
</cp:coreProperties>
</file>