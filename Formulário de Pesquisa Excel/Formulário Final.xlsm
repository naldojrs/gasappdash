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ople.ey.com/personal/allyssia_nascimento_br_ey_com/Documents/Desktop/Curso - Engenharia de Dados/Projeto final suporte/"/>
    </mc:Choice>
  </mc:AlternateContent>
  <xr:revisionPtr revIDLastSave="0" documentId="8_{A4AC0014-C2F8-406D-8EAF-FC7A5DA9BC98}" xr6:coauthVersionLast="47" xr6:coauthVersionMax="47" xr10:uidLastSave="{00000000-0000-0000-0000-000000000000}"/>
  <bookViews>
    <workbookView xWindow="-108" yWindow="-108" windowWidth="23256" windowHeight="12576" firstSheet="1" activeTab="1" xr2:uid="{1CB1F5B4-1626-4C85-AB66-3F4B79096618}"/>
  </bookViews>
  <sheets>
    <sheet name="Idade x Genero" sheetId="4" r:id="rId1"/>
    <sheet name="Dados" sheetId="1" r:id="rId2"/>
    <sheet name="Listas" sheetId="5" r:id="rId3"/>
  </sheets>
  <definedNames>
    <definedName name="_xlnm._FilterDatabase" localSheetId="1" hidden="1">Dados!$A$1:$U$43</definedName>
    <definedName name="listafrequencia">Listas!$E$2:$E$6</definedName>
    <definedName name="listamodal">Listas!$G$2:$G$5</definedName>
    <definedName name="listaregiao">Listas!$C$2:$C$6</definedName>
    <definedName name="listarenda">Listas!$A$2:$A$6</definedName>
    <definedName name="listavalor">Listas!$I$2:$I$6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4" l="1"/>
  <c r="G15" i="4"/>
  <c r="G14" i="4"/>
  <c r="G13" i="4"/>
  <c r="G12" i="4"/>
  <c r="G11" i="4"/>
</calcChain>
</file>

<file path=xl/sharedStrings.xml><?xml version="1.0" encoding="utf-8"?>
<sst xmlns="http://schemas.openxmlformats.org/spreadsheetml/2006/main" count="393" uniqueCount="164">
  <si>
    <t>Carimbo de data/hora</t>
  </si>
  <si>
    <t>Endereço de e-mail</t>
  </si>
  <si>
    <t>Quais são os principais motivos que levam você a utilizar aplicativos de descontos e vantagens em postos de gasolina?</t>
  </si>
  <si>
    <t>Como você ficou sabendo desses aplicativos de descontos e vantagens? (ex.: amigos, redes sociais, publicidade, funcionários do posto, etc.)</t>
  </si>
  <si>
    <t>Quais aspectos você considera mais importantes em um aplicativo de descontos e vantagens para postos de gasolina? (ex: facilidade de uso, variedade de vantagens, confiabilidade, etc.)</t>
  </si>
  <si>
    <t>Com base em sua experiência, quais melhorias você gostaria de ver nos aplicativos de descontos e vantagens para postos de gasolina?</t>
  </si>
  <si>
    <t>Você já teve algum problema ou dificuldade ao utilizar aplicativos de descontos e vantagens em postos de gasolina? Se sim, descreva o ocorrido e como foi resolvido (se foi resolvido).</t>
  </si>
  <si>
    <t>O que você acredita que um aplicativo de descontos e vantagens deveria ter para que você considerasse utilizá-lo?</t>
  </si>
  <si>
    <t>ofserick@gmail.com</t>
  </si>
  <si>
    <t>Masculino</t>
  </si>
  <si>
    <t>Sudeste</t>
  </si>
  <si>
    <t>Acima de R$ 8.001,00</t>
  </si>
  <si>
    <t>Não utilizo</t>
  </si>
  <si>
    <t>R$ 2.001,00 - R$ 4.000,00</t>
  </si>
  <si>
    <t>Transporte por Aplicativo</t>
  </si>
  <si>
    <t>R$ 101,00 - R$ 150,00</t>
  </si>
  <si>
    <t>economia</t>
  </si>
  <si>
    <t>facilidade</t>
  </si>
  <si>
    <t>viromanuela@gmail.com</t>
  </si>
  <si>
    <t>Feminino</t>
  </si>
  <si>
    <t>Maior validade para uso.</t>
  </si>
  <si>
    <t>thiagorosario10@gmail.com</t>
  </si>
  <si>
    <t>Descontos consideráveis para os postos da região onde vivo, além do próprio app apresentar uma interface limpa e de fácil entendimento e não sofrer problemas como bugs e travamentos.</t>
  </si>
  <si>
    <t>gabriel.casanova.gonela@gmail.com</t>
  </si>
  <si>
    <t>Até R$ 2.000,00</t>
  </si>
  <si>
    <t>Mensalmente</t>
  </si>
  <si>
    <t>Carro</t>
  </si>
  <si>
    <t>R$ 51,00 - R$ 100,00</t>
  </si>
  <si>
    <t>Assim posso aproveitar o dinheiro gasto da melhor forma possível</t>
  </si>
  <si>
    <t>Recomendações de amigos</t>
  </si>
  <si>
    <t>Variedades de vantagens e confiabilidade</t>
  </si>
  <si>
    <t>Gostaria que tivesse mais formar de adquirir descontos e vantagens como por exemplo alguma promoção especial</t>
  </si>
  <si>
    <t>Nunca tive</t>
  </si>
  <si>
    <t>Uma vantagem que atraia o cliente com confiabilidade e vantagens</t>
  </si>
  <si>
    <t>arivascsts@icloud.com</t>
  </si>
  <si>
    <t>R$ 6.001,00 - R$ 8.000,00</t>
  </si>
  <si>
    <t>Desconto e vale ducha</t>
  </si>
  <si>
    <t>gabrielsrocha37@gmail.com</t>
  </si>
  <si>
    <t>Semanalmente</t>
  </si>
  <si>
    <t>Os benefícios e descontos.</t>
  </si>
  <si>
    <t>Publicidade</t>
  </si>
  <si>
    <t>Facilidade no uso</t>
  </si>
  <si>
    <t>Mais benefícios e cashback.</t>
  </si>
  <si>
    <t>Problemas no login do aplicativo, depois de reinstalar 5 vezes consegui acessar.</t>
  </si>
  <si>
    <t>Descontos no abastecimento e brindes.</t>
  </si>
  <si>
    <t>thallysjanuario@gmail.com</t>
  </si>
  <si>
    <t>Descontos reais e não simbólicos, pois um abastecimento de R$ 100 muitas vezes não chega a R$ 5 de desconto, e as vantagens não agradam tanto.</t>
  </si>
  <si>
    <t>maurobronquinha1972@gmail.com</t>
  </si>
  <si>
    <t>R$ 4.001,00 - R$ 6.000,00</t>
  </si>
  <si>
    <t>Eu na real não sei qual os tipos de vantagens eles tem</t>
  </si>
  <si>
    <t>luisa_siqueira8@hotmail.com</t>
  </si>
  <si>
    <t>Ter benefícios reais ao cliente</t>
  </si>
  <si>
    <t>marcosantoniojr@hotmail.com</t>
  </si>
  <si>
    <t>Quinzenalmente</t>
  </si>
  <si>
    <t>Até R$ 50,00</t>
  </si>
  <si>
    <t>Economia</t>
  </si>
  <si>
    <t>Mais desconto</t>
  </si>
  <si>
    <t>Sim, fora do ar.</t>
  </si>
  <si>
    <t>Desconto</t>
  </si>
  <si>
    <t>Ser facil</t>
  </si>
  <si>
    <t>Bastante desconto</t>
  </si>
  <si>
    <t>Usa lo em vários postos da mesma bandeira</t>
  </si>
  <si>
    <t>Ter postos bom como participantes e fácil entendimento para os usuários</t>
  </si>
  <si>
    <t>Praticidade</t>
  </si>
  <si>
    <t>Sim</t>
  </si>
  <si>
    <t>Combustível está caro</t>
  </si>
  <si>
    <t>Funcionário do posto</t>
  </si>
  <si>
    <t>Facilidade de uso e boa vantagem</t>
  </si>
  <si>
    <t>Mais ágil</t>
  </si>
  <si>
    <t>Sim, o app estava fora do ar, não resolvi d imediato</t>
  </si>
  <si>
    <t>Bom desconto e q fosse progressivo.</t>
  </si>
  <si>
    <t>Preço</t>
  </si>
  <si>
    <t>Boa divulgação. Promoções atrativas.</t>
  </si>
  <si>
    <t>Tutorial didático e melhores orientações e benefícios.</t>
  </si>
  <si>
    <t>Descontos</t>
  </si>
  <si>
    <t>Vantagens por utilizar frequentemente ou descontos e promoções</t>
  </si>
  <si>
    <t>Simplicidade e objetividade da plataforma</t>
  </si>
  <si>
    <t>pereira.lais99@gmail.com</t>
  </si>
  <si>
    <t>Uma melhor propaganda e uma manejo certo para que os descontos sejam mais atrativos</t>
  </si>
  <si>
    <t>Facilidade para usar o desconto. Por exemplo: não vincular o desconto com cartão de crédito, vc tem que informar dados do cartão para ter o desconto.</t>
  </si>
  <si>
    <t>Desconto na gasosa e acessibilidade</t>
  </si>
  <si>
    <t>Bons descontos</t>
  </si>
  <si>
    <t>Transparencia</t>
  </si>
  <si>
    <t>Desconto para viagens, quanto mais usar o aplicativo ir acumulando pontos e trocar por abastecimento</t>
  </si>
  <si>
    <t>O desconto</t>
  </si>
  <si>
    <t>Vantagens</t>
  </si>
  <si>
    <t>Mais acessível</t>
  </si>
  <si>
    <t>Não</t>
  </si>
  <si>
    <t>Mais promoções</t>
  </si>
  <si>
    <t>o restorno em cash</t>
  </si>
  <si>
    <t>publicidade - posto de gasolina</t>
  </si>
  <si>
    <t>facilidade de uso</t>
  </si>
  <si>
    <t>Descontos em cash</t>
  </si>
  <si>
    <t>O próprio aplicativo trava ou não responde.</t>
  </si>
  <si>
    <t>descontos em cash</t>
  </si>
  <si>
    <t>Facilidade</t>
  </si>
  <si>
    <t>Centro-Oeste</t>
  </si>
  <si>
    <t>Descontos promocionais.</t>
  </si>
  <si>
    <t>Publicidade, internet, indicação de amigos.</t>
  </si>
  <si>
    <t>Variedade de vantagens</t>
  </si>
  <si>
    <t>Mais opções vantajosas.</t>
  </si>
  <si>
    <t>Sim, no posto Ipiranga (fora do ar, inoperante).</t>
  </si>
  <si>
    <t>Sorteios mensais, em espécie ou produtos.</t>
  </si>
  <si>
    <t>Custo, benefício. Economia em postos de confiança. Eu utilizo vários aplicativos de desconto em vários comércios.</t>
  </si>
  <si>
    <t>Publicidade e Redes Sociais</t>
  </si>
  <si>
    <t>Facilidade de uso, clareza nas informações, e maior agilidade. Confiabilidade já deveria estar presente devido a LGPD</t>
  </si>
  <si>
    <t>Programa de fidelidade, informações claras e manejo objetivo.</t>
  </si>
  <si>
    <t>Sim. Demora na navegação, não reconhece o cupom, para mudar senha é terrível.</t>
  </si>
  <si>
    <t>Proteção dos dados e objetividade no manejo.</t>
  </si>
  <si>
    <t>Incentivo e divulgação</t>
  </si>
  <si>
    <t>Economia de custos.</t>
  </si>
  <si>
    <t>Posto Ipiranga</t>
  </si>
  <si>
    <t>Serviços nos postos como por exemplo ducha no carro</t>
  </si>
  <si>
    <t>Não.</t>
  </si>
  <si>
    <t>Estou satisfeito.</t>
  </si>
  <si>
    <t>Para fazer economia</t>
  </si>
  <si>
    <t>Variedades de vantagens</t>
  </si>
  <si>
    <t>Que os pontos não expirassem</t>
  </si>
  <si>
    <t>Não expirar os pontos adquiridos</t>
  </si>
  <si>
    <t>Que proporcione uma vantagem real.</t>
  </si>
  <si>
    <t>Sul</t>
  </si>
  <si>
    <t>Agilidade nos descontos e que fossem verdadeiramente, descontos.</t>
  </si>
  <si>
    <t>Bons convênios e cashback em abastecimento</t>
  </si>
  <si>
    <t>até 21 anos</t>
  </si>
  <si>
    <t>22 a 31 anos</t>
  </si>
  <si>
    <t>32 a 41 anos</t>
  </si>
  <si>
    <t>42 a 51 anos</t>
  </si>
  <si>
    <t>52 a 61 anos</t>
  </si>
  <si>
    <t>62 a 71 anos</t>
  </si>
  <si>
    <t>Gênero</t>
  </si>
  <si>
    <t>Idade</t>
  </si>
  <si>
    <t>Região</t>
  </si>
  <si>
    <t>Renda</t>
  </si>
  <si>
    <t>Frenquencia de uso de app de postos de gasolina</t>
  </si>
  <si>
    <t>Modal utilizado</t>
  </si>
  <si>
    <t xml:space="preserve">Média de economia no abastecimento com app </t>
  </si>
  <si>
    <t>Regiões</t>
  </si>
  <si>
    <t>Norte</t>
  </si>
  <si>
    <t>Nordeste</t>
  </si>
  <si>
    <t>Moto</t>
  </si>
  <si>
    <t>Caminhão</t>
  </si>
  <si>
    <t>Quanto você estima economizar mensalmente usando aplicativos de descontos e vantagens em postos de gasolina?</t>
  </si>
  <si>
    <t>Até R$50,00</t>
  </si>
  <si>
    <t>R$ 151,00 - R$ 200,00</t>
  </si>
  <si>
    <t>Acima de R$ 200,00</t>
  </si>
  <si>
    <t>Frequência</t>
  </si>
  <si>
    <t>Diariamente</t>
  </si>
  <si>
    <t xml:space="preserve">Não utilizo </t>
  </si>
  <si>
    <t>a</t>
  </si>
  <si>
    <t>allyssia.na@hotmail.com</t>
  </si>
  <si>
    <t>descontos</t>
  </si>
  <si>
    <t>amigos</t>
  </si>
  <si>
    <t>não</t>
  </si>
  <si>
    <t>-</t>
  </si>
  <si>
    <t>bons descontos no abastecimento</t>
  </si>
  <si>
    <t>confiabilidade</t>
  </si>
  <si>
    <t>aplicativos com menos problemas de atualizaçào</t>
  </si>
  <si>
    <t>facilidade na utilização, ser intuitivo</t>
  </si>
  <si>
    <t>variedade de vantagens</t>
  </si>
  <si>
    <t>que travassem menos</t>
  </si>
  <si>
    <t>sim, o aplicativo ficou fora do ar</t>
  </si>
  <si>
    <t>fosse intuitivo e tivesse uma boa opção de desconto</t>
  </si>
  <si>
    <t>app quenão fique tanto tempo fora do ar</t>
  </si>
  <si>
    <t>bons descontos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</si>
</sst>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0"/>
      <color rgb="FF202124"/>
      <name val="Docs-Roboto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Border="1" applyAlignment="1">
      <alignment wrapText="1"/>
    </xf>
    <xf numFmtId="0" fontId="0" fillId="0" borderId="0" xfId="0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vertical="center"/>
    </xf>
    <xf numFmtId="0" fontId="0" fillId="0" borderId="1" xfId="0" applyBorder="1"/>
    <xf numFmtId="22" fontId="1" fillId="0" borderId="1" xfId="0" applyNumberFormat="1" applyFont="1" applyBorder="1" applyAlignment="1">
      <alignment horizontal="right" wrapText="1"/>
    </xf>
    <xf numFmtId="0" fontId="1" fillId="0" borderId="1" xfId="0" applyFont="1" applyBorder="1" applyAlignment="1">
      <alignment horizontal="right" wrapText="1"/>
    </xf>
    <xf numFmtId="0" fontId="1" fillId="0" borderId="2" xfId="0" applyFont="1" applyBorder="1" applyAlignment="1">
      <alignment wrapText="1"/>
    </xf>
    <xf numFmtId="0" fontId="0" fillId="0" borderId="2" xfId="0" applyBorder="1"/>
    <xf numFmtId="0" fontId="2" fillId="2" borderId="1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3" fillId="2" borderId="0" xfId="0" applyFont="1" applyFill="1" applyBorder="1"/>
    <xf numFmtId="0" fontId="2" fillId="3" borderId="1" xfId="0" applyFont="1" applyFill="1" applyBorder="1" applyAlignment="1">
      <alignment wrapText="1"/>
    </xf>
    <xf numFmtId="0" fontId="2" fillId="3" borderId="1" xfId="0" applyFont="1" applyFill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601980</xdr:colOff>
          <xdr:row>0</xdr:row>
          <xdr:rowOff>381000</xdr:rowOff>
        </xdr:from>
        <xdr:to>
          <xdr:col>25</xdr:col>
          <xdr:colOff>106680</xdr:colOff>
          <xdr:row>0</xdr:row>
          <xdr:rowOff>929640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Responda a pesquisa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yssia Nascimento" refreshedDate="45063.858868171294" createdVersion="7" refreshedVersion="7" minRefreshableVersion="3" recordCount="143" xr:uid="{9933D6F9-9983-4232-9274-57304899F061}">
  <cacheSource type="worksheet">
    <worksheetSource ref="A1:I1048576" sheet="Dados"/>
  </cacheSource>
  <cacheFields count="9">
    <cacheField name="Carimbo de data/hora" numFmtId="0">
      <sharedItems containsNonDate="0" containsDate="1" containsString="0" containsBlank="1" minDate="2023-05-06T20:35:58" maxDate="2023-05-13T18:18:32"/>
    </cacheField>
    <cacheField name="Endereço de e-mail" numFmtId="0">
      <sharedItems containsBlank="1"/>
    </cacheField>
    <cacheField name="Idade" numFmtId="0">
      <sharedItems containsString="0" containsBlank="1" containsNumber="1" containsInteger="1" minValue="18" maxValue="68" count="29">
        <n v="31"/>
        <n v="49"/>
        <n v="28"/>
        <n v="24"/>
        <n v="18"/>
        <n v="30"/>
        <n v="25"/>
        <n v="50"/>
        <n v="19"/>
        <n v="39"/>
        <n v="44"/>
        <n v="40"/>
        <n v="55"/>
        <n v="33"/>
        <n v="32"/>
        <n v="51"/>
        <n v="43"/>
        <n v="52"/>
        <n v="57"/>
        <n v="64"/>
        <n v="23"/>
        <n v="68"/>
        <n v="53"/>
        <n v="27"/>
        <n v="62"/>
        <n v="63"/>
        <n v="45"/>
        <n v="58"/>
        <m/>
      </sharedItems>
    </cacheField>
    <cacheField name="Gênero" numFmtId="0">
      <sharedItems containsBlank="1" count="3">
        <s v="Masculino"/>
        <s v="Feminino"/>
        <m/>
      </sharedItems>
    </cacheField>
    <cacheField name="Região" numFmtId="0">
      <sharedItems containsBlank="1" count="4">
        <s v="Sudeste"/>
        <s v="Centro-Oeste"/>
        <s v="Sul"/>
        <m/>
      </sharedItems>
    </cacheField>
    <cacheField name="Renda" numFmtId="0">
      <sharedItems containsBlank="1" count="6">
        <s v="Acima de R$ 8.001,00"/>
        <s v="R$ 2.001,00 - R$ 4.000,00"/>
        <s v="Até R$ 2.000,00"/>
        <s v="R$ 6.001,00 - R$ 8.000,00"/>
        <s v="R$ 4.001,00 - R$ 6.000,00"/>
        <m/>
      </sharedItems>
    </cacheField>
    <cacheField name="Frenquencia de uso de app de postos de gasolina" numFmtId="0">
      <sharedItems containsBlank="1"/>
    </cacheField>
    <cacheField name="Modal utilizado" numFmtId="0">
      <sharedItems containsBlank="1"/>
    </cacheField>
    <cacheField name="Média de economia no abastecimento com app " numFmtId="0">
      <sharedItems containsBlank="1"/>
    </cacheField>
  </cacheFields>
  <extLst>
    <ext xmlns:x14="http://schemas.microsoft.com/office/spreadsheetml/2009/9/main" uri="{725AE2AE-9491-48be-B2B4-4EB974FC3084}">
      <x14:pivotCacheDefinition pivotCacheId="6139082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">
  <r>
    <d v="2023-05-06T20:35:58"/>
    <s v="ofserick@gmail.com"/>
    <x v="0"/>
    <x v="0"/>
    <x v="0"/>
    <x v="0"/>
    <s v="Não utilizo"/>
    <m/>
    <m/>
  </r>
  <r>
    <d v="2023-05-06T20:46:51"/>
    <m/>
    <x v="1"/>
    <x v="0"/>
    <x v="0"/>
    <x v="1"/>
    <s v="Não utilizo"/>
    <s v="Transporte por Aplicativo"/>
    <s v="R$ 101,00 - R$ 150,00"/>
  </r>
  <r>
    <d v="2023-05-07T09:17:22"/>
    <s v="viromanuela@gmail.com"/>
    <x v="2"/>
    <x v="1"/>
    <x v="0"/>
    <x v="0"/>
    <s v="Não utilizo"/>
    <m/>
    <m/>
  </r>
  <r>
    <d v="2023-05-07T11:31:33"/>
    <s v="thiagorosario10@gmail.com"/>
    <x v="3"/>
    <x v="0"/>
    <x v="0"/>
    <x v="1"/>
    <s v="Não utilizo"/>
    <m/>
    <m/>
  </r>
  <r>
    <d v="2023-05-07T15:24:17"/>
    <s v="gabriel.casanova.gonela@gmail.com"/>
    <x v="4"/>
    <x v="0"/>
    <x v="0"/>
    <x v="2"/>
    <s v="Mensalmente"/>
    <s v="Carro"/>
    <s v="R$ 51,00 - R$ 100,00"/>
  </r>
  <r>
    <d v="2023-05-07T22:57:00"/>
    <s v="arivascsts@icloud.com"/>
    <x v="5"/>
    <x v="1"/>
    <x v="0"/>
    <x v="3"/>
    <s v="Não utilizo"/>
    <m/>
    <m/>
  </r>
  <r>
    <d v="2023-05-08T00:31:50"/>
    <s v="gabrielsrocha37@gmail.com"/>
    <x v="6"/>
    <x v="0"/>
    <x v="0"/>
    <x v="1"/>
    <s v="Semanalmente"/>
    <s v="Carro"/>
    <s v="R$ 51,00 - R$ 100,00"/>
  </r>
  <r>
    <d v="2023-05-08T04:25:36"/>
    <s v="thallysjanuario@gmail.com"/>
    <x v="3"/>
    <x v="0"/>
    <x v="0"/>
    <x v="1"/>
    <s v="Não utilizo"/>
    <m/>
    <m/>
  </r>
  <r>
    <d v="2023-05-08T04:53:30"/>
    <s v="maurobronquinha1972@gmail.com"/>
    <x v="7"/>
    <x v="0"/>
    <x v="0"/>
    <x v="4"/>
    <s v="Não utilizo"/>
    <m/>
    <m/>
  </r>
  <r>
    <d v="2023-05-08T08:03:36"/>
    <s v="luisa_siqueira8@hotmail.com"/>
    <x v="8"/>
    <x v="1"/>
    <x v="0"/>
    <x v="2"/>
    <s v="Não utilizo"/>
    <m/>
    <m/>
  </r>
  <r>
    <d v="2023-05-08T08:06:36"/>
    <s v="marcosantoniojr@hotmail.com"/>
    <x v="9"/>
    <x v="0"/>
    <x v="0"/>
    <x v="4"/>
    <s v="Quinzenalmente"/>
    <s v="Carro"/>
    <s v="Até R$ 50,00"/>
  </r>
  <r>
    <d v="2023-05-08T09:36:26"/>
    <m/>
    <x v="10"/>
    <x v="1"/>
    <x v="0"/>
    <x v="3"/>
    <s v="Não utilizo"/>
    <m/>
    <m/>
  </r>
  <r>
    <d v="2023-05-08T09:36:58"/>
    <m/>
    <x v="11"/>
    <x v="1"/>
    <x v="0"/>
    <x v="1"/>
    <s v="Não utilizo"/>
    <m/>
    <m/>
  </r>
  <r>
    <d v="2023-05-08T10:02:11"/>
    <m/>
    <x v="12"/>
    <x v="1"/>
    <x v="0"/>
    <x v="4"/>
    <s v="Não utilizo"/>
    <m/>
    <m/>
  </r>
  <r>
    <d v="2023-05-08T10:03:59"/>
    <m/>
    <x v="13"/>
    <x v="1"/>
    <x v="0"/>
    <x v="2"/>
    <s v="Não utilizo"/>
    <m/>
    <m/>
  </r>
  <r>
    <d v="2023-05-08T10:04:37"/>
    <m/>
    <x v="14"/>
    <x v="0"/>
    <x v="0"/>
    <x v="0"/>
    <s v="Não utilizo"/>
    <m/>
    <m/>
  </r>
  <r>
    <d v="2023-05-08T10:04:49"/>
    <m/>
    <x v="15"/>
    <x v="0"/>
    <x v="0"/>
    <x v="0"/>
    <s v="Não utilizo"/>
    <m/>
    <m/>
  </r>
  <r>
    <d v="2023-05-08T10:07:02"/>
    <m/>
    <x v="16"/>
    <x v="1"/>
    <x v="0"/>
    <x v="1"/>
    <s v="Semanalmente"/>
    <s v="Carro"/>
    <s v="Até R$ 50,00"/>
  </r>
  <r>
    <d v="2023-05-08T10:09:20"/>
    <m/>
    <x v="17"/>
    <x v="0"/>
    <x v="0"/>
    <x v="4"/>
    <s v="Não utilizo"/>
    <m/>
    <m/>
  </r>
  <r>
    <d v="2023-05-08T10:09:40"/>
    <m/>
    <x v="18"/>
    <x v="0"/>
    <x v="0"/>
    <x v="4"/>
    <s v="Não utilizo"/>
    <m/>
    <m/>
  </r>
  <r>
    <d v="2023-05-08T10:19:17"/>
    <m/>
    <x v="19"/>
    <x v="0"/>
    <x v="0"/>
    <x v="4"/>
    <s v="Não utilizo"/>
    <m/>
    <m/>
  </r>
  <r>
    <d v="2023-05-08T10:21:44"/>
    <m/>
    <x v="1"/>
    <x v="1"/>
    <x v="0"/>
    <x v="1"/>
    <s v="Não utilizo"/>
    <m/>
    <m/>
  </r>
  <r>
    <d v="2023-05-08T10:29:08"/>
    <m/>
    <x v="6"/>
    <x v="0"/>
    <x v="0"/>
    <x v="1"/>
    <s v="Não utilizo"/>
    <m/>
    <m/>
  </r>
  <r>
    <d v="2023-05-08T10:46:10"/>
    <m/>
    <x v="11"/>
    <x v="0"/>
    <x v="0"/>
    <x v="4"/>
    <s v="Não utilizo"/>
    <m/>
    <m/>
  </r>
  <r>
    <d v="2023-05-08T12:32:52"/>
    <m/>
    <x v="2"/>
    <x v="0"/>
    <x v="0"/>
    <x v="1"/>
    <s v="Não utilizo"/>
    <m/>
    <m/>
  </r>
  <r>
    <d v="2023-05-08T11:02:15"/>
    <s v="pereira.lais99@gmail.com"/>
    <x v="3"/>
    <x v="1"/>
    <x v="0"/>
    <x v="2"/>
    <s v="Não utilizo"/>
    <m/>
    <m/>
  </r>
  <r>
    <d v="2023-05-08T11:10:48"/>
    <m/>
    <x v="7"/>
    <x v="1"/>
    <x v="0"/>
    <x v="1"/>
    <s v="Não utilizo"/>
    <m/>
    <m/>
  </r>
  <r>
    <d v="2023-05-08T11:18:11"/>
    <m/>
    <x v="20"/>
    <x v="0"/>
    <x v="0"/>
    <x v="1"/>
    <s v="Não utilizo"/>
    <m/>
    <m/>
  </r>
  <r>
    <d v="2023-05-08T11:24:24"/>
    <m/>
    <x v="2"/>
    <x v="1"/>
    <x v="0"/>
    <x v="1"/>
    <s v="Não utilizo"/>
    <m/>
    <m/>
  </r>
  <r>
    <d v="2023-05-08T13:28:36"/>
    <m/>
    <x v="21"/>
    <x v="1"/>
    <x v="0"/>
    <x v="4"/>
    <s v="Não utilizo"/>
    <m/>
    <m/>
  </r>
  <r>
    <d v="2023-05-08T16:32:17"/>
    <m/>
    <x v="22"/>
    <x v="1"/>
    <x v="0"/>
    <x v="2"/>
    <s v="Não utilizo"/>
    <m/>
    <m/>
  </r>
  <r>
    <d v="2023-05-08T17:24:26"/>
    <m/>
    <x v="23"/>
    <x v="1"/>
    <x v="0"/>
    <x v="4"/>
    <s v="Mensalmente"/>
    <s v="Carro"/>
    <s v="R$ 101,00 - R$ 150,00"/>
  </r>
  <r>
    <d v="2023-05-08T21:58:16"/>
    <m/>
    <x v="5"/>
    <x v="1"/>
    <x v="0"/>
    <x v="4"/>
    <s v="Mensalmente"/>
    <s v="Carro"/>
    <s v="Até R$ 50,00"/>
  </r>
  <r>
    <d v="2023-05-10T20:30:35"/>
    <m/>
    <x v="24"/>
    <x v="0"/>
    <x v="0"/>
    <x v="0"/>
    <s v="Não utilizo"/>
    <m/>
    <m/>
  </r>
  <r>
    <d v="2023-05-11T16:11:22"/>
    <m/>
    <x v="25"/>
    <x v="0"/>
    <x v="1"/>
    <x v="0"/>
    <s v="Quinzenalmente"/>
    <s v="Carro"/>
    <s v="R$ 51,00 - R$ 100,00"/>
  </r>
  <r>
    <d v="2023-05-11T16:23:35"/>
    <m/>
    <x v="26"/>
    <x v="1"/>
    <x v="0"/>
    <x v="4"/>
    <s v="Quinzenalmente"/>
    <s v="Carro"/>
    <s v="R$ 51,00 - R$ 100,00"/>
  </r>
  <r>
    <d v="2023-05-11T16:30:38"/>
    <m/>
    <x v="19"/>
    <x v="0"/>
    <x v="0"/>
    <x v="0"/>
    <s v="Não utilizo"/>
    <m/>
    <m/>
  </r>
  <r>
    <d v="2023-05-11T16:37:02"/>
    <m/>
    <x v="25"/>
    <x v="0"/>
    <x v="0"/>
    <x v="0"/>
    <s v="Mensalmente"/>
    <s v="Carro"/>
    <s v="Até R$ 50,00"/>
  </r>
  <r>
    <d v="2023-05-11T17:01:46"/>
    <m/>
    <x v="24"/>
    <x v="0"/>
    <x v="0"/>
    <x v="0"/>
    <s v="Semanalmente"/>
    <s v="Carro"/>
    <s v="Até R$ 50,00"/>
  </r>
  <r>
    <d v="2023-05-11T20:37:47"/>
    <m/>
    <x v="24"/>
    <x v="0"/>
    <x v="0"/>
    <x v="0"/>
    <s v="Não utilizo"/>
    <m/>
    <m/>
  </r>
  <r>
    <d v="2023-05-12T03:33:59"/>
    <m/>
    <x v="24"/>
    <x v="0"/>
    <x v="2"/>
    <x v="0"/>
    <s v="Não utilizo"/>
    <m/>
    <m/>
  </r>
  <r>
    <d v="2023-05-13T18:18:32"/>
    <m/>
    <x v="27"/>
    <x v="0"/>
    <x v="0"/>
    <x v="0"/>
    <s v="Não utilizo"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  <r>
    <m/>
    <m/>
    <x v="28"/>
    <x v="2"/>
    <x v="3"/>
    <x v="5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2E0E7-DE0D-4234-B312-F2A9C4676258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0" firstHeaderRow="1" firstDataRow="1" firstDataCol="0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70B5B-CD75-4D5C-B1F6-F3C2985ACBB1}">
  <sheetPr codeName="Sheet1"/>
  <dimension ref="A3:G20"/>
  <sheetViews>
    <sheetView workbookViewId="0">
      <selection activeCell="B4" sqref="B4"/>
    </sheetView>
  </sheetViews>
  <sheetFormatPr defaultRowHeight="14.4"/>
  <cols>
    <col min="1" max="1" width="15.109375" bestFit="1" customWidth="1"/>
    <col min="2" max="2" width="10.6640625" bestFit="1" customWidth="1"/>
    <col min="6" max="6" width="15.21875" customWidth="1"/>
  </cols>
  <sheetData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  <c r="F11" t="s">
        <v>123</v>
      </c>
      <c r="G11">
        <f>COUNT(A4:A5)</f>
        <v>0</v>
      </c>
    </row>
    <row r="12" spans="1:7">
      <c r="A12" s="19"/>
      <c r="B12" s="20"/>
      <c r="C12" s="21"/>
      <c r="F12" t="s">
        <v>124</v>
      </c>
      <c r="G12">
        <f>COUNT(A6:A12)</f>
        <v>0</v>
      </c>
    </row>
    <row r="13" spans="1:7">
      <c r="A13" s="19"/>
      <c r="B13" s="20"/>
      <c r="C13" s="21"/>
      <c r="F13" t="s">
        <v>125</v>
      </c>
      <c r="G13">
        <f>COUNT(A13:A16)</f>
        <v>0</v>
      </c>
    </row>
    <row r="14" spans="1:7">
      <c r="A14" s="19"/>
      <c r="B14" s="20"/>
      <c r="C14" s="21"/>
      <c r="F14" t="s">
        <v>126</v>
      </c>
      <c r="G14">
        <f>COUNT(A17:A22)</f>
        <v>0</v>
      </c>
    </row>
    <row r="15" spans="1:7">
      <c r="A15" s="19"/>
      <c r="B15" s="20"/>
      <c r="C15" s="21"/>
      <c r="F15" t="s">
        <v>127</v>
      </c>
      <c r="G15">
        <f>COUNT(A23:A27)</f>
        <v>0</v>
      </c>
    </row>
    <row r="16" spans="1:7">
      <c r="A16" s="19"/>
      <c r="B16" s="20"/>
      <c r="C16" s="21"/>
      <c r="F16" t="s">
        <v>128</v>
      </c>
      <c r="G16">
        <f>COUNT(A28:A31)</f>
        <v>0</v>
      </c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5A8EB-8CED-40A4-8775-EBD6BB9A20E4}">
  <sheetPr codeName="Sheet5"/>
  <dimension ref="A1:U46"/>
  <sheetViews>
    <sheetView showGridLines="0" tabSelected="1" zoomScale="90" zoomScaleNormal="90" workbookViewId="0">
      <selection activeCell="AH10" sqref="AH10"/>
    </sheetView>
  </sheetViews>
  <sheetFormatPr defaultRowHeight="14.4"/>
  <cols>
    <col min="1" max="5" width="23.77734375" style="5" customWidth="1"/>
    <col min="6" max="6" width="31.44140625" style="5" customWidth="1"/>
    <col min="7" max="7" width="48.33203125" style="5" customWidth="1"/>
    <col min="8" max="8" width="30.109375" style="5" customWidth="1"/>
    <col min="9" max="9" width="37.77734375" style="5" customWidth="1"/>
    <col min="10" max="10" width="38.88671875" style="5" customWidth="1"/>
    <col min="11" max="11" width="36.21875" style="5" customWidth="1"/>
    <col min="12" max="12" width="32.77734375" style="5" customWidth="1"/>
    <col min="13" max="13" width="29.5546875" style="5" customWidth="1"/>
    <col min="14" max="14" width="44.33203125" style="5" customWidth="1"/>
    <col min="15" max="15" width="190.77734375" style="5" customWidth="1"/>
    <col min="16" max="16" width="8.88671875" style="9"/>
    <col min="17" max="16384" width="8.88671875" style="2"/>
  </cols>
  <sheetData>
    <row r="1" spans="1:21" s="13" customFormat="1" ht="79.8">
      <c r="A1" s="10" t="s">
        <v>0</v>
      </c>
      <c r="B1" s="10" t="s">
        <v>1</v>
      </c>
      <c r="C1" s="10" t="s">
        <v>130</v>
      </c>
      <c r="D1" s="10" t="s">
        <v>129</v>
      </c>
      <c r="E1" s="10" t="s">
        <v>131</v>
      </c>
      <c r="F1" s="10" t="s">
        <v>132</v>
      </c>
      <c r="G1" s="10" t="s">
        <v>133</v>
      </c>
      <c r="H1" s="10" t="s">
        <v>134</v>
      </c>
      <c r="I1" s="10" t="s">
        <v>135</v>
      </c>
      <c r="J1" s="14" t="s">
        <v>2</v>
      </c>
      <c r="K1" s="10" t="s">
        <v>3</v>
      </c>
      <c r="L1" s="10" t="s">
        <v>4</v>
      </c>
      <c r="M1" s="10" t="s">
        <v>5</v>
      </c>
      <c r="N1" s="14" t="s">
        <v>6</v>
      </c>
      <c r="O1" s="15" t="s">
        <v>7</v>
      </c>
      <c r="P1" s="11"/>
      <c r="Q1" s="12"/>
      <c r="R1" s="12"/>
      <c r="S1" s="12"/>
      <c r="T1" s="12"/>
      <c r="U1" s="12"/>
    </row>
    <row r="2" spans="1:21">
      <c r="A2" s="6">
        <v>45052.858310185184</v>
      </c>
      <c r="B2" s="3" t="s">
        <v>8</v>
      </c>
      <c r="C2" s="7">
        <v>31</v>
      </c>
      <c r="D2" s="3" t="s">
        <v>9</v>
      </c>
      <c r="E2" s="3" t="s">
        <v>10</v>
      </c>
      <c r="F2" s="3" t="s">
        <v>11</v>
      </c>
      <c r="G2" s="3" t="s">
        <v>12</v>
      </c>
      <c r="H2" s="3"/>
      <c r="I2" s="3"/>
      <c r="J2" s="3"/>
      <c r="K2" s="3"/>
      <c r="L2" s="3"/>
      <c r="M2" s="3"/>
      <c r="N2" s="3"/>
      <c r="O2" s="3"/>
      <c r="P2" s="8"/>
      <c r="Q2" s="1"/>
      <c r="R2" s="1"/>
      <c r="S2" s="1"/>
      <c r="T2" s="1"/>
      <c r="U2" s="1"/>
    </row>
    <row r="3" spans="1:21">
      <c r="A3" s="6">
        <v>45052.865868055553</v>
      </c>
      <c r="B3" s="3"/>
      <c r="C3" s="7">
        <v>49</v>
      </c>
      <c r="D3" s="3" t="s">
        <v>9</v>
      </c>
      <c r="E3" s="3" t="s">
        <v>10</v>
      </c>
      <c r="F3" s="3" t="s">
        <v>13</v>
      </c>
      <c r="G3" s="3" t="s">
        <v>12</v>
      </c>
      <c r="H3" s="3" t="s">
        <v>14</v>
      </c>
      <c r="I3" s="3" t="s">
        <v>15</v>
      </c>
      <c r="J3" s="3" t="s">
        <v>16</v>
      </c>
      <c r="K3" s="3"/>
      <c r="L3" s="3" t="s">
        <v>17</v>
      </c>
      <c r="M3" s="3"/>
      <c r="N3" s="3"/>
      <c r="O3" s="3"/>
      <c r="P3" s="8"/>
      <c r="Q3" s="1"/>
      <c r="R3" s="1"/>
      <c r="S3" s="1"/>
      <c r="T3" s="1"/>
      <c r="U3" s="1"/>
    </row>
    <row r="4" spans="1:21">
      <c r="A4" s="6">
        <v>45053.387060185189</v>
      </c>
      <c r="B4" s="3" t="s">
        <v>18</v>
      </c>
      <c r="C4" s="7">
        <v>28</v>
      </c>
      <c r="D4" s="3" t="s">
        <v>19</v>
      </c>
      <c r="E4" s="3" t="s">
        <v>10</v>
      </c>
      <c r="F4" s="3" t="s">
        <v>11</v>
      </c>
      <c r="G4" s="3" t="s">
        <v>12</v>
      </c>
      <c r="H4" s="3"/>
      <c r="I4" s="3"/>
      <c r="J4" s="3"/>
      <c r="K4" s="3"/>
      <c r="L4" s="3"/>
      <c r="M4" s="3"/>
      <c r="N4" s="3"/>
      <c r="O4" s="3" t="s">
        <v>20</v>
      </c>
      <c r="P4" s="8"/>
      <c r="Q4" s="1"/>
      <c r="R4" s="1"/>
      <c r="S4" s="1"/>
      <c r="T4" s="1"/>
      <c r="U4" s="1"/>
    </row>
    <row r="5" spans="1:21" ht="27">
      <c r="A5" s="6">
        <v>45053.480243055557</v>
      </c>
      <c r="B5" s="3" t="s">
        <v>21</v>
      </c>
      <c r="C5" s="7">
        <v>24</v>
      </c>
      <c r="D5" s="3" t="s">
        <v>9</v>
      </c>
      <c r="E5" s="3" t="s">
        <v>10</v>
      </c>
      <c r="F5" s="3" t="s">
        <v>13</v>
      </c>
      <c r="G5" s="3" t="s">
        <v>12</v>
      </c>
      <c r="H5" s="3"/>
      <c r="I5" s="3"/>
      <c r="J5" s="3"/>
      <c r="K5" s="3"/>
      <c r="L5" s="3"/>
      <c r="M5" s="3"/>
      <c r="N5" s="3"/>
      <c r="O5" s="4" t="s">
        <v>22</v>
      </c>
      <c r="P5" s="8"/>
      <c r="Q5" s="1"/>
      <c r="R5" s="1"/>
      <c r="S5" s="1"/>
      <c r="T5" s="1"/>
      <c r="U5" s="1"/>
    </row>
    <row r="6" spans="1:21" ht="53.4">
      <c r="A6" s="6">
        <v>45053.641863425924</v>
      </c>
      <c r="B6" s="3" t="s">
        <v>23</v>
      </c>
      <c r="C6" s="7">
        <v>18</v>
      </c>
      <c r="D6" s="3" t="s">
        <v>9</v>
      </c>
      <c r="E6" s="3" t="s">
        <v>10</v>
      </c>
      <c r="F6" s="3" t="s">
        <v>24</v>
      </c>
      <c r="G6" s="3" t="s">
        <v>25</v>
      </c>
      <c r="H6" s="3" t="s">
        <v>26</v>
      </c>
      <c r="I6" s="3" t="s">
        <v>27</v>
      </c>
      <c r="J6" s="3" t="s">
        <v>28</v>
      </c>
      <c r="K6" s="3" t="s">
        <v>29</v>
      </c>
      <c r="L6" s="3" t="s">
        <v>30</v>
      </c>
      <c r="M6" s="3" t="s">
        <v>31</v>
      </c>
      <c r="N6" s="3" t="s">
        <v>32</v>
      </c>
      <c r="O6" s="4" t="s">
        <v>33</v>
      </c>
      <c r="P6" s="8"/>
      <c r="Q6" s="1"/>
      <c r="R6" s="1"/>
      <c r="S6" s="1"/>
      <c r="T6" s="1"/>
      <c r="U6" s="1"/>
    </row>
    <row r="7" spans="1:21">
      <c r="A7" s="6">
        <v>45053.956250000003</v>
      </c>
      <c r="B7" s="3" t="s">
        <v>34</v>
      </c>
      <c r="C7" s="7">
        <v>30</v>
      </c>
      <c r="D7" s="3" t="s">
        <v>19</v>
      </c>
      <c r="E7" s="3" t="s">
        <v>10</v>
      </c>
      <c r="F7" s="3" t="s">
        <v>35</v>
      </c>
      <c r="G7" s="3" t="s">
        <v>12</v>
      </c>
      <c r="H7" s="3"/>
      <c r="I7" s="3"/>
      <c r="J7" s="3"/>
      <c r="K7" s="3"/>
      <c r="L7" s="3"/>
      <c r="M7" s="3"/>
      <c r="N7" s="3"/>
      <c r="O7" s="3" t="s">
        <v>36</v>
      </c>
      <c r="P7" s="8"/>
      <c r="Q7" s="1"/>
      <c r="R7" s="1"/>
      <c r="S7" s="1"/>
      <c r="T7" s="1"/>
      <c r="U7" s="1"/>
    </row>
    <row r="8" spans="1:21" ht="27">
      <c r="A8" s="6">
        <v>45054.022106481483</v>
      </c>
      <c r="B8" s="3" t="s">
        <v>37</v>
      </c>
      <c r="C8" s="7">
        <v>25</v>
      </c>
      <c r="D8" s="3" t="s">
        <v>9</v>
      </c>
      <c r="E8" s="3" t="s">
        <v>10</v>
      </c>
      <c r="F8" s="3" t="s">
        <v>13</v>
      </c>
      <c r="G8" s="3" t="s">
        <v>38</v>
      </c>
      <c r="H8" s="3" t="s">
        <v>26</v>
      </c>
      <c r="I8" s="3" t="s">
        <v>27</v>
      </c>
      <c r="J8" s="3" t="s">
        <v>39</v>
      </c>
      <c r="K8" s="3" t="s">
        <v>40</v>
      </c>
      <c r="L8" s="3" t="s">
        <v>41</v>
      </c>
      <c r="M8" s="3" t="s">
        <v>42</v>
      </c>
      <c r="N8" s="3" t="s">
        <v>43</v>
      </c>
      <c r="O8" s="4" t="s">
        <v>44</v>
      </c>
      <c r="P8" s="8"/>
      <c r="Q8" s="1"/>
      <c r="R8" s="1"/>
      <c r="S8" s="1"/>
      <c r="T8" s="1"/>
      <c r="U8" s="1"/>
    </row>
    <row r="9" spans="1:21">
      <c r="A9" s="6">
        <v>45054.184444444443</v>
      </c>
      <c r="B9" s="3" t="s">
        <v>45</v>
      </c>
      <c r="C9" s="7">
        <v>24</v>
      </c>
      <c r="D9" s="3" t="s">
        <v>9</v>
      </c>
      <c r="E9" s="3" t="s">
        <v>10</v>
      </c>
      <c r="F9" s="3" t="s">
        <v>13</v>
      </c>
      <c r="G9" s="3" t="s">
        <v>12</v>
      </c>
      <c r="H9" s="3"/>
      <c r="I9" s="3"/>
      <c r="J9" s="3"/>
      <c r="K9" s="3"/>
      <c r="L9" s="3"/>
      <c r="M9" s="3"/>
      <c r="N9" s="3"/>
      <c r="O9" s="4" t="s">
        <v>46</v>
      </c>
      <c r="P9" s="8"/>
      <c r="Q9" s="1"/>
      <c r="R9" s="1"/>
      <c r="S9" s="1"/>
      <c r="T9" s="1"/>
      <c r="U9" s="1"/>
    </row>
    <row r="10" spans="1:21" ht="27">
      <c r="A10" s="6">
        <v>45054.203819444447</v>
      </c>
      <c r="B10" s="3" t="s">
        <v>47</v>
      </c>
      <c r="C10" s="7">
        <v>50</v>
      </c>
      <c r="D10" s="3" t="s">
        <v>9</v>
      </c>
      <c r="E10" s="3" t="s">
        <v>10</v>
      </c>
      <c r="F10" s="3" t="s">
        <v>48</v>
      </c>
      <c r="G10" s="3" t="s">
        <v>12</v>
      </c>
      <c r="H10" s="3"/>
      <c r="I10" s="3"/>
      <c r="J10" s="3"/>
      <c r="K10" s="3"/>
      <c r="L10" s="3"/>
      <c r="M10" s="3"/>
      <c r="N10" s="3"/>
      <c r="O10" s="4" t="s">
        <v>49</v>
      </c>
      <c r="P10" s="8"/>
      <c r="Q10" s="1"/>
      <c r="R10" s="1"/>
      <c r="S10" s="1"/>
      <c r="T10" s="1"/>
      <c r="U10" s="1"/>
    </row>
    <row r="11" spans="1:21" ht="27">
      <c r="A11" s="6">
        <v>45054.335833333331</v>
      </c>
      <c r="B11" s="3" t="s">
        <v>50</v>
      </c>
      <c r="C11" s="7">
        <v>19</v>
      </c>
      <c r="D11" s="3" t="s">
        <v>19</v>
      </c>
      <c r="E11" s="3" t="s">
        <v>10</v>
      </c>
      <c r="F11" s="3" t="s">
        <v>24</v>
      </c>
      <c r="G11" s="3" t="s">
        <v>12</v>
      </c>
      <c r="H11" s="3"/>
      <c r="I11" s="3"/>
      <c r="J11" s="3"/>
      <c r="K11" s="3"/>
      <c r="L11" s="3"/>
      <c r="M11" s="3"/>
      <c r="N11" s="3"/>
      <c r="O11" s="4" t="s">
        <v>51</v>
      </c>
      <c r="P11" s="8"/>
      <c r="Q11" s="1"/>
      <c r="R11" s="1"/>
      <c r="S11" s="1"/>
      <c r="T11" s="1"/>
      <c r="U11" s="1"/>
    </row>
    <row r="12" spans="1:21" ht="27">
      <c r="A12" s="6">
        <v>45054.337916666664</v>
      </c>
      <c r="B12" s="3" t="s">
        <v>52</v>
      </c>
      <c r="C12" s="7">
        <v>39</v>
      </c>
      <c r="D12" s="3" t="s">
        <v>9</v>
      </c>
      <c r="E12" s="3" t="s">
        <v>10</v>
      </c>
      <c r="F12" s="3" t="s">
        <v>48</v>
      </c>
      <c r="G12" s="3" t="s">
        <v>53</v>
      </c>
      <c r="H12" s="3" t="s">
        <v>26</v>
      </c>
      <c r="I12" s="3" t="s">
        <v>54</v>
      </c>
      <c r="J12" s="3" t="s">
        <v>55</v>
      </c>
      <c r="K12" s="3" t="s">
        <v>40</v>
      </c>
      <c r="L12" s="3" t="s">
        <v>55</v>
      </c>
      <c r="M12" s="3" t="s">
        <v>56</v>
      </c>
      <c r="N12" s="3" t="s">
        <v>57</v>
      </c>
      <c r="O12" s="3" t="s">
        <v>58</v>
      </c>
      <c r="P12" s="8"/>
      <c r="Q12" s="1"/>
      <c r="R12" s="1"/>
      <c r="S12" s="1"/>
      <c r="T12" s="1"/>
      <c r="U12" s="1"/>
    </row>
    <row r="13" spans="1:21">
      <c r="A13" s="6">
        <v>45054.400300925925</v>
      </c>
      <c r="B13" s="3"/>
      <c r="C13" s="7">
        <v>44</v>
      </c>
      <c r="D13" s="3" t="s">
        <v>19</v>
      </c>
      <c r="E13" s="3" t="s">
        <v>10</v>
      </c>
      <c r="F13" s="3" t="s">
        <v>35</v>
      </c>
      <c r="G13" s="3" t="s">
        <v>12</v>
      </c>
      <c r="H13" s="3"/>
      <c r="I13" s="3"/>
      <c r="J13" s="3"/>
      <c r="K13" s="3"/>
      <c r="L13" s="3"/>
      <c r="M13" s="3"/>
      <c r="N13" s="3"/>
      <c r="O13" s="3" t="s">
        <v>59</v>
      </c>
      <c r="P13" s="8"/>
      <c r="Q13" s="1"/>
      <c r="R13" s="1"/>
      <c r="S13" s="1"/>
      <c r="T13" s="1"/>
      <c r="U13" s="1"/>
    </row>
    <row r="14" spans="1:21">
      <c r="A14" s="6">
        <v>45054.400671296295</v>
      </c>
      <c r="B14" s="3"/>
      <c r="C14" s="7">
        <v>40</v>
      </c>
      <c r="D14" s="3" t="s">
        <v>19</v>
      </c>
      <c r="E14" s="3" t="s">
        <v>10</v>
      </c>
      <c r="F14" s="3" t="s">
        <v>13</v>
      </c>
      <c r="G14" s="3" t="s">
        <v>12</v>
      </c>
      <c r="H14" s="3"/>
      <c r="I14" s="3"/>
      <c r="J14" s="3"/>
      <c r="K14" s="3"/>
      <c r="L14" s="3"/>
      <c r="M14" s="3"/>
      <c r="N14" s="3"/>
      <c r="O14" s="3" t="s">
        <v>60</v>
      </c>
      <c r="P14" s="8"/>
      <c r="Q14" s="1"/>
      <c r="R14" s="1"/>
      <c r="S14" s="1"/>
      <c r="T14" s="1"/>
      <c r="U14" s="1"/>
    </row>
    <row r="15" spans="1:21">
      <c r="A15" s="6">
        <v>45054.418182870373</v>
      </c>
      <c r="B15" s="3"/>
      <c r="C15" s="7">
        <v>55</v>
      </c>
      <c r="D15" s="3" t="s">
        <v>19</v>
      </c>
      <c r="E15" s="3" t="s">
        <v>10</v>
      </c>
      <c r="F15" s="3" t="s">
        <v>48</v>
      </c>
      <c r="G15" s="3" t="s">
        <v>12</v>
      </c>
      <c r="H15" s="3"/>
      <c r="I15" s="3"/>
      <c r="J15" s="3"/>
      <c r="K15" s="3"/>
      <c r="L15" s="3"/>
      <c r="M15" s="3"/>
      <c r="N15" s="3"/>
      <c r="O15" s="4" t="s">
        <v>61</v>
      </c>
      <c r="P15" s="8"/>
      <c r="Q15" s="1"/>
      <c r="R15" s="1"/>
      <c r="S15" s="1"/>
      <c r="T15" s="1"/>
      <c r="U15" s="1"/>
    </row>
    <row r="16" spans="1:21">
      <c r="A16" s="6">
        <v>45054.419432870367</v>
      </c>
      <c r="B16" s="3"/>
      <c r="C16" s="7">
        <v>33</v>
      </c>
      <c r="D16" s="3" t="s">
        <v>19</v>
      </c>
      <c r="E16" s="3" t="s">
        <v>10</v>
      </c>
      <c r="F16" s="3" t="s">
        <v>24</v>
      </c>
      <c r="G16" s="3" t="s">
        <v>12</v>
      </c>
      <c r="H16" s="3"/>
      <c r="I16" s="3"/>
      <c r="J16" s="3"/>
      <c r="K16" s="3"/>
      <c r="L16" s="3"/>
      <c r="M16" s="3"/>
      <c r="N16" s="3"/>
      <c r="O16" s="4" t="s">
        <v>62</v>
      </c>
      <c r="P16" s="8"/>
      <c r="Q16" s="1"/>
      <c r="R16" s="1"/>
      <c r="S16" s="1"/>
      <c r="T16" s="1"/>
      <c r="U16" s="1"/>
    </row>
    <row r="17" spans="1:21">
      <c r="A17" s="6">
        <v>45054.419872685183</v>
      </c>
      <c r="B17" s="3"/>
      <c r="C17" s="7">
        <v>32</v>
      </c>
      <c r="D17" s="3" t="s">
        <v>9</v>
      </c>
      <c r="E17" s="3" t="s">
        <v>10</v>
      </c>
      <c r="F17" s="3" t="s">
        <v>11</v>
      </c>
      <c r="G17" s="3" t="s">
        <v>12</v>
      </c>
      <c r="H17" s="3"/>
      <c r="I17" s="3"/>
      <c r="J17" s="3"/>
      <c r="K17" s="3"/>
      <c r="L17" s="3"/>
      <c r="M17" s="3"/>
      <c r="N17" s="3"/>
      <c r="O17" s="3" t="s">
        <v>63</v>
      </c>
      <c r="P17" s="8"/>
      <c r="Q17" s="1"/>
      <c r="R17" s="1"/>
      <c r="S17" s="1"/>
      <c r="T17" s="1"/>
      <c r="U17" s="1"/>
    </row>
    <row r="18" spans="1:21">
      <c r="A18" s="6">
        <v>45054.420011574075</v>
      </c>
      <c r="B18" s="3"/>
      <c r="C18" s="7">
        <v>51</v>
      </c>
      <c r="D18" s="3" t="s">
        <v>9</v>
      </c>
      <c r="E18" s="3" t="s">
        <v>10</v>
      </c>
      <c r="F18" s="3" t="s">
        <v>11</v>
      </c>
      <c r="G18" s="3" t="s">
        <v>12</v>
      </c>
      <c r="H18" s="3"/>
      <c r="I18" s="3"/>
      <c r="J18" s="3"/>
      <c r="K18" s="3"/>
      <c r="L18" s="3"/>
      <c r="M18" s="3"/>
      <c r="N18" s="3"/>
      <c r="O18" s="3" t="s">
        <v>64</v>
      </c>
      <c r="P18" s="8"/>
      <c r="Q18" s="1"/>
      <c r="R18" s="1"/>
      <c r="S18" s="1"/>
      <c r="T18" s="1"/>
      <c r="U18" s="1"/>
    </row>
    <row r="19" spans="1:21">
      <c r="A19" s="6">
        <v>45054.421550925923</v>
      </c>
      <c r="B19" s="3"/>
      <c r="C19" s="7">
        <v>43</v>
      </c>
      <c r="D19" s="3" t="s">
        <v>19</v>
      </c>
      <c r="E19" s="3" t="s">
        <v>10</v>
      </c>
      <c r="F19" s="3" t="s">
        <v>13</v>
      </c>
      <c r="G19" s="3" t="s">
        <v>38</v>
      </c>
      <c r="H19" s="3" t="s">
        <v>26</v>
      </c>
      <c r="I19" s="3" t="s">
        <v>54</v>
      </c>
      <c r="J19" s="3" t="s">
        <v>65</v>
      </c>
      <c r="K19" s="3" t="s">
        <v>66</v>
      </c>
      <c r="L19" s="3" t="s">
        <v>67</v>
      </c>
      <c r="M19" s="3" t="s">
        <v>68</v>
      </c>
      <c r="N19" s="3" t="s">
        <v>69</v>
      </c>
      <c r="O19" s="4" t="s">
        <v>70</v>
      </c>
      <c r="P19" s="8"/>
      <c r="Q19" s="1"/>
      <c r="R19" s="1"/>
      <c r="S19" s="1"/>
      <c r="T19" s="1"/>
      <c r="U19" s="1"/>
    </row>
    <row r="20" spans="1:21">
      <c r="A20" s="6">
        <v>45054.423148148147</v>
      </c>
      <c r="B20" s="3"/>
      <c r="C20" s="7">
        <v>52</v>
      </c>
      <c r="D20" s="3" t="s">
        <v>9</v>
      </c>
      <c r="E20" s="3" t="s">
        <v>10</v>
      </c>
      <c r="F20" s="3" t="s">
        <v>48</v>
      </c>
      <c r="G20" s="3" t="s">
        <v>12</v>
      </c>
      <c r="H20" s="3"/>
      <c r="I20" s="3"/>
      <c r="J20" s="3"/>
      <c r="K20" s="3"/>
      <c r="L20" s="3"/>
      <c r="M20" s="3"/>
      <c r="N20" s="3"/>
      <c r="O20" s="3" t="s">
        <v>71</v>
      </c>
      <c r="P20" s="8"/>
      <c r="Q20" s="1"/>
      <c r="R20" s="1"/>
      <c r="S20" s="1"/>
      <c r="T20" s="1"/>
      <c r="U20" s="1"/>
    </row>
    <row r="21" spans="1:21">
      <c r="A21" s="6">
        <v>45054.423379629632</v>
      </c>
      <c r="B21" s="3"/>
      <c r="C21" s="7">
        <v>57</v>
      </c>
      <c r="D21" s="3" t="s">
        <v>9</v>
      </c>
      <c r="E21" s="3" t="s">
        <v>10</v>
      </c>
      <c r="F21" s="3" t="s">
        <v>48</v>
      </c>
      <c r="G21" s="3" t="s">
        <v>12</v>
      </c>
      <c r="H21" s="3"/>
      <c r="I21" s="3"/>
      <c r="J21" s="3"/>
      <c r="K21" s="3"/>
      <c r="L21" s="3"/>
      <c r="M21" s="3"/>
      <c r="N21" s="3"/>
      <c r="O21" s="4" t="s">
        <v>72</v>
      </c>
      <c r="P21" s="8"/>
      <c r="Q21" s="1"/>
      <c r="R21" s="1"/>
      <c r="S21" s="1"/>
      <c r="T21" s="1"/>
      <c r="U21" s="1"/>
    </row>
    <row r="22" spans="1:21">
      <c r="A22" s="6">
        <v>45054.43005787037</v>
      </c>
      <c r="B22" s="3"/>
      <c r="C22" s="7">
        <v>64</v>
      </c>
      <c r="D22" s="3" t="s">
        <v>9</v>
      </c>
      <c r="E22" s="3" t="s">
        <v>10</v>
      </c>
      <c r="F22" s="3" t="s">
        <v>48</v>
      </c>
      <c r="G22" s="3" t="s">
        <v>12</v>
      </c>
      <c r="H22" s="3"/>
      <c r="I22" s="3"/>
      <c r="J22" s="3"/>
      <c r="K22" s="3"/>
      <c r="L22" s="3"/>
      <c r="M22" s="3"/>
      <c r="N22" s="3"/>
      <c r="O22" s="4" t="s">
        <v>73</v>
      </c>
      <c r="P22" s="8"/>
      <c r="Q22" s="1"/>
      <c r="R22" s="1"/>
      <c r="S22" s="1"/>
      <c r="T22" s="1"/>
      <c r="U22" s="1"/>
    </row>
    <row r="23" spans="1:21">
      <c r="A23" s="6">
        <v>45054.431759259256</v>
      </c>
      <c r="B23" s="3"/>
      <c r="C23" s="7">
        <v>49</v>
      </c>
      <c r="D23" s="3" t="s">
        <v>19</v>
      </c>
      <c r="E23" s="3" t="s">
        <v>10</v>
      </c>
      <c r="F23" s="3" t="s">
        <v>13</v>
      </c>
      <c r="G23" s="3" t="s">
        <v>12</v>
      </c>
      <c r="H23" s="3"/>
      <c r="I23" s="3"/>
      <c r="J23" s="3"/>
      <c r="K23" s="3"/>
      <c r="L23" s="3"/>
      <c r="M23" s="3"/>
      <c r="N23" s="3"/>
      <c r="O23" s="3" t="s">
        <v>74</v>
      </c>
      <c r="P23" s="8"/>
      <c r="Q23" s="1"/>
      <c r="R23" s="1"/>
      <c r="S23" s="1"/>
      <c r="T23" s="1"/>
      <c r="U23" s="1"/>
    </row>
    <row r="24" spans="1:21">
      <c r="A24" s="6">
        <v>45054.436898148146</v>
      </c>
      <c r="B24" s="3"/>
      <c r="C24" s="7">
        <v>25</v>
      </c>
      <c r="D24" s="3" t="s">
        <v>9</v>
      </c>
      <c r="E24" s="3" t="s">
        <v>10</v>
      </c>
      <c r="F24" s="3" t="s">
        <v>13</v>
      </c>
      <c r="G24" s="3" t="s">
        <v>12</v>
      </c>
      <c r="H24" s="3"/>
      <c r="I24" s="3"/>
      <c r="J24" s="3"/>
      <c r="K24" s="3"/>
      <c r="L24" s="3"/>
      <c r="M24" s="3"/>
      <c r="N24" s="3"/>
      <c r="O24" s="4" t="s">
        <v>75</v>
      </c>
      <c r="P24" s="8"/>
      <c r="Q24" s="1"/>
      <c r="R24" s="1"/>
      <c r="S24" s="1"/>
      <c r="T24" s="1"/>
      <c r="U24" s="1"/>
    </row>
    <row r="25" spans="1:21">
      <c r="A25" s="6">
        <v>45054.44872685185</v>
      </c>
      <c r="B25" s="3"/>
      <c r="C25" s="7">
        <v>40</v>
      </c>
      <c r="D25" s="3" t="s">
        <v>9</v>
      </c>
      <c r="E25" s="3" t="s">
        <v>10</v>
      </c>
      <c r="F25" s="3" t="s">
        <v>48</v>
      </c>
      <c r="G25" s="3" t="s">
        <v>12</v>
      </c>
      <c r="H25" s="3"/>
      <c r="I25" s="3"/>
      <c r="J25" s="3"/>
      <c r="K25" s="3"/>
      <c r="L25" s="3"/>
      <c r="M25" s="3"/>
      <c r="N25" s="3"/>
      <c r="O25" s="3" t="s">
        <v>64</v>
      </c>
      <c r="P25" s="8"/>
      <c r="Q25" s="1"/>
      <c r="R25" s="1"/>
      <c r="S25" s="1"/>
      <c r="T25" s="1"/>
      <c r="U25" s="1"/>
    </row>
    <row r="26" spans="1:21">
      <c r="A26" s="6">
        <v>45054.522824074076</v>
      </c>
      <c r="B26" s="3"/>
      <c r="C26" s="7">
        <v>28</v>
      </c>
      <c r="D26" s="3" t="s">
        <v>9</v>
      </c>
      <c r="E26" s="3" t="s">
        <v>10</v>
      </c>
      <c r="F26" s="3" t="s">
        <v>13</v>
      </c>
      <c r="G26" s="3" t="s">
        <v>12</v>
      </c>
      <c r="H26" s="3"/>
      <c r="I26" s="3"/>
      <c r="J26" s="3"/>
      <c r="K26" s="3"/>
      <c r="L26" s="3"/>
      <c r="M26" s="3"/>
      <c r="N26" s="3"/>
      <c r="O26" s="4" t="s">
        <v>76</v>
      </c>
      <c r="P26" s="8"/>
      <c r="Q26" s="1"/>
      <c r="R26" s="1"/>
      <c r="S26" s="1"/>
      <c r="T26" s="1"/>
      <c r="U26" s="1"/>
    </row>
    <row r="27" spans="1:21">
      <c r="A27" s="6">
        <v>45054.45989583333</v>
      </c>
      <c r="B27" s="3" t="s">
        <v>77</v>
      </c>
      <c r="C27" s="7">
        <v>24</v>
      </c>
      <c r="D27" s="3" t="s">
        <v>19</v>
      </c>
      <c r="E27" s="3" t="s">
        <v>10</v>
      </c>
      <c r="F27" s="3" t="s">
        <v>24</v>
      </c>
      <c r="G27" s="3" t="s">
        <v>12</v>
      </c>
      <c r="H27" s="3"/>
      <c r="I27" s="3"/>
      <c r="J27" s="3"/>
      <c r="K27" s="3"/>
      <c r="L27" s="3"/>
      <c r="M27" s="3"/>
      <c r="N27" s="3"/>
      <c r="O27" s="4" t="s">
        <v>78</v>
      </c>
      <c r="P27" s="8"/>
      <c r="Q27" s="1"/>
      <c r="R27" s="1"/>
      <c r="S27" s="1"/>
      <c r="T27" s="1"/>
      <c r="U27" s="1"/>
    </row>
    <row r="28" spans="1:21">
      <c r="A28" s="6">
        <v>45054.465833333335</v>
      </c>
      <c r="B28" s="3"/>
      <c r="C28" s="7">
        <v>26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4" t="s">
        <v>79</v>
      </c>
      <c r="P28" s="8"/>
      <c r="Q28" s="1"/>
      <c r="R28" s="1"/>
      <c r="S28" s="1"/>
      <c r="T28" s="1"/>
      <c r="U28" s="1"/>
    </row>
    <row r="29" spans="1:21">
      <c r="A29" s="6">
        <v>45054.470960648148</v>
      </c>
      <c r="B29" s="3"/>
      <c r="C29" s="7">
        <v>25</v>
      </c>
      <c r="D29" s="3" t="s">
        <v>19</v>
      </c>
      <c r="E29" s="3" t="s">
        <v>48</v>
      </c>
      <c r="F29" s="3" t="s">
        <v>10</v>
      </c>
      <c r="G29" s="3" t="s">
        <v>26</v>
      </c>
      <c r="H29" s="3" t="s">
        <v>38</v>
      </c>
      <c r="I29" s="3" t="s">
        <v>27</v>
      </c>
      <c r="J29" s="3" t="s">
        <v>148</v>
      </c>
      <c r="K29" s="3" t="s">
        <v>148</v>
      </c>
      <c r="L29" s="3" t="s">
        <v>148</v>
      </c>
      <c r="M29" s="3" t="s">
        <v>148</v>
      </c>
      <c r="N29" s="3" t="s">
        <v>148</v>
      </c>
      <c r="O29" s="4" t="s">
        <v>80</v>
      </c>
      <c r="P29" s="8"/>
      <c r="Q29" s="1"/>
      <c r="R29" s="1"/>
      <c r="S29" s="1"/>
      <c r="T29" s="1"/>
      <c r="U29" s="1"/>
    </row>
    <row r="30" spans="1:21">
      <c r="A30" s="6">
        <v>45054.475277777776</v>
      </c>
      <c r="B30" s="3"/>
      <c r="C30" s="7">
        <v>26</v>
      </c>
      <c r="D30" s="3" t="s">
        <v>19</v>
      </c>
      <c r="E30" s="3" t="s">
        <v>24</v>
      </c>
      <c r="F30" s="3" t="s">
        <v>10</v>
      </c>
      <c r="G30" s="3" t="s">
        <v>26</v>
      </c>
      <c r="H30" s="3" t="s">
        <v>146</v>
      </c>
      <c r="I30" s="3" t="s">
        <v>27</v>
      </c>
      <c r="J30" s="3" t="s">
        <v>148</v>
      </c>
      <c r="K30" s="3" t="s">
        <v>148</v>
      </c>
      <c r="L30" s="3" t="s">
        <v>148</v>
      </c>
      <c r="M30" s="3" t="s">
        <v>148</v>
      </c>
      <c r="N30" s="3" t="s">
        <v>148</v>
      </c>
      <c r="O30" s="3" t="s">
        <v>81</v>
      </c>
      <c r="P30" s="8"/>
      <c r="Q30" s="1"/>
      <c r="R30" s="1"/>
      <c r="S30" s="1"/>
      <c r="T30" s="1"/>
      <c r="U30" s="1"/>
    </row>
    <row r="31" spans="1:21">
      <c r="A31" s="6">
        <v>45054.561527777776</v>
      </c>
      <c r="B31" s="3"/>
      <c r="C31" s="7">
        <v>68</v>
      </c>
      <c r="D31" s="3" t="s">
        <v>19</v>
      </c>
      <c r="E31" s="3" t="s">
        <v>10</v>
      </c>
      <c r="F31" s="3" t="s">
        <v>48</v>
      </c>
      <c r="G31" s="3" t="s">
        <v>12</v>
      </c>
      <c r="H31" s="3"/>
      <c r="I31" s="3"/>
      <c r="J31" s="3"/>
      <c r="K31" s="3"/>
      <c r="L31" s="3"/>
      <c r="M31" s="3"/>
      <c r="N31" s="3"/>
      <c r="O31" s="3" t="s">
        <v>82</v>
      </c>
      <c r="P31" s="8"/>
      <c r="Q31" s="1"/>
      <c r="R31" s="1"/>
      <c r="S31" s="1"/>
      <c r="T31" s="1"/>
      <c r="U31" s="1"/>
    </row>
    <row r="32" spans="1:21">
      <c r="A32" s="6">
        <v>45054.689085648148</v>
      </c>
      <c r="B32" s="3"/>
      <c r="C32" s="7">
        <v>53</v>
      </c>
      <c r="D32" s="3" t="s">
        <v>19</v>
      </c>
      <c r="E32" s="3" t="s">
        <v>10</v>
      </c>
      <c r="F32" s="3" t="s">
        <v>24</v>
      </c>
      <c r="G32" s="3" t="s">
        <v>12</v>
      </c>
      <c r="H32" s="3"/>
      <c r="I32" s="3"/>
      <c r="J32" s="3"/>
      <c r="K32" s="3"/>
      <c r="L32" s="3"/>
      <c r="M32" s="3"/>
      <c r="N32" s="3"/>
      <c r="O32" s="4" t="s">
        <v>83</v>
      </c>
      <c r="P32" s="8"/>
      <c r="Q32" s="1"/>
      <c r="R32" s="1"/>
      <c r="S32" s="1"/>
      <c r="T32" s="1"/>
      <c r="U32" s="1"/>
    </row>
    <row r="33" spans="1:21">
      <c r="A33" s="6">
        <v>45054.725300925929</v>
      </c>
      <c r="B33" s="3"/>
      <c r="C33" s="7">
        <v>27</v>
      </c>
      <c r="D33" s="3" t="s">
        <v>19</v>
      </c>
      <c r="E33" s="3" t="s">
        <v>10</v>
      </c>
      <c r="F33" s="3" t="s">
        <v>48</v>
      </c>
      <c r="G33" s="3" t="s">
        <v>25</v>
      </c>
      <c r="H33" s="3" t="s">
        <v>26</v>
      </c>
      <c r="I33" s="3" t="s">
        <v>15</v>
      </c>
      <c r="J33" s="3" t="s">
        <v>84</v>
      </c>
      <c r="K33" s="3" t="s">
        <v>40</v>
      </c>
      <c r="L33" s="3" t="s">
        <v>85</v>
      </c>
      <c r="M33" s="3" t="s">
        <v>86</v>
      </c>
      <c r="N33" s="3" t="s">
        <v>87</v>
      </c>
      <c r="O33" s="3" t="s">
        <v>88</v>
      </c>
      <c r="P33" s="8"/>
      <c r="Q33" s="1"/>
      <c r="R33" s="1"/>
      <c r="S33" s="1"/>
      <c r="T33" s="1"/>
      <c r="U33" s="1"/>
    </row>
    <row r="34" spans="1:21">
      <c r="A34" s="6">
        <v>45054.915462962963</v>
      </c>
      <c r="B34" s="3"/>
      <c r="C34" s="7">
        <v>30</v>
      </c>
      <c r="D34" s="3" t="s">
        <v>19</v>
      </c>
      <c r="E34" s="3" t="s">
        <v>10</v>
      </c>
      <c r="F34" s="3" t="s">
        <v>48</v>
      </c>
      <c r="G34" s="3" t="s">
        <v>25</v>
      </c>
      <c r="H34" s="3" t="s">
        <v>26</v>
      </c>
      <c r="I34" s="3" t="s">
        <v>54</v>
      </c>
      <c r="J34" s="3" t="s">
        <v>89</v>
      </c>
      <c r="K34" s="3" t="s">
        <v>90</v>
      </c>
      <c r="L34" s="3" t="s">
        <v>91</v>
      </c>
      <c r="M34" s="3" t="s">
        <v>92</v>
      </c>
      <c r="N34" s="3" t="s">
        <v>93</v>
      </c>
      <c r="O34" s="3" t="s">
        <v>94</v>
      </c>
      <c r="P34" s="8"/>
      <c r="Q34" s="1"/>
      <c r="R34" s="1"/>
      <c r="S34" s="1"/>
      <c r="T34" s="1"/>
      <c r="U34" s="1"/>
    </row>
    <row r="35" spans="1:21">
      <c r="A35" s="6">
        <v>45056.854571759257</v>
      </c>
      <c r="B35" s="3"/>
      <c r="C35" s="7">
        <v>62</v>
      </c>
      <c r="D35" s="3" t="s">
        <v>9</v>
      </c>
      <c r="E35" s="3" t="s">
        <v>10</v>
      </c>
      <c r="F35" s="3" t="s">
        <v>11</v>
      </c>
      <c r="G35" s="3" t="s">
        <v>12</v>
      </c>
      <c r="H35" s="3"/>
      <c r="I35" s="3"/>
      <c r="J35" s="3"/>
      <c r="K35" s="3"/>
      <c r="L35" s="3"/>
      <c r="M35" s="3"/>
      <c r="N35" s="3"/>
      <c r="O35" s="3" t="s">
        <v>95</v>
      </c>
      <c r="P35" s="8"/>
      <c r="Q35" s="1"/>
      <c r="R35" s="1"/>
      <c r="S35" s="1"/>
      <c r="T35" s="1"/>
      <c r="U35" s="1"/>
    </row>
    <row r="36" spans="1:21" ht="27">
      <c r="A36" s="6">
        <v>45057.674560185187</v>
      </c>
      <c r="B36" s="3"/>
      <c r="C36" s="7">
        <v>63</v>
      </c>
      <c r="D36" s="3" t="s">
        <v>9</v>
      </c>
      <c r="E36" s="3" t="s">
        <v>96</v>
      </c>
      <c r="F36" s="3" t="s">
        <v>11</v>
      </c>
      <c r="G36" s="3" t="s">
        <v>53</v>
      </c>
      <c r="H36" s="3" t="s">
        <v>26</v>
      </c>
      <c r="I36" s="3" t="s">
        <v>27</v>
      </c>
      <c r="J36" s="3" t="s">
        <v>97</v>
      </c>
      <c r="K36" s="3" t="s">
        <v>98</v>
      </c>
      <c r="L36" s="3" t="s">
        <v>99</v>
      </c>
      <c r="M36" s="3" t="s">
        <v>100</v>
      </c>
      <c r="N36" s="3" t="s">
        <v>101</v>
      </c>
      <c r="O36" s="4" t="s">
        <v>102</v>
      </c>
      <c r="P36" s="8"/>
      <c r="Q36" s="1"/>
      <c r="R36" s="1"/>
      <c r="S36" s="1"/>
      <c r="T36" s="1"/>
      <c r="U36" s="1"/>
    </row>
    <row r="37" spans="1:21" ht="53.4">
      <c r="A37" s="6">
        <v>45057.68304398148</v>
      </c>
      <c r="B37" s="3"/>
      <c r="C37" s="7">
        <v>45</v>
      </c>
      <c r="D37" s="3" t="s">
        <v>19</v>
      </c>
      <c r="E37" s="3" t="s">
        <v>10</v>
      </c>
      <c r="F37" s="3" t="s">
        <v>48</v>
      </c>
      <c r="G37" s="3" t="s">
        <v>53</v>
      </c>
      <c r="H37" s="3" t="s">
        <v>26</v>
      </c>
      <c r="I37" s="3" t="s">
        <v>27</v>
      </c>
      <c r="J37" s="3" t="s">
        <v>103</v>
      </c>
      <c r="K37" s="3" t="s">
        <v>104</v>
      </c>
      <c r="L37" s="3" t="s">
        <v>105</v>
      </c>
      <c r="M37" s="3" t="s">
        <v>106</v>
      </c>
      <c r="N37" s="3" t="s">
        <v>107</v>
      </c>
      <c r="O37" s="4" t="s">
        <v>108</v>
      </c>
      <c r="P37" s="8"/>
      <c r="Q37" s="1"/>
      <c r="R37" s="1"/>
      <c r="S37" s="1"/>
      <c r="T37" s="1"/>
      <c r="U37" s="1"/>
    </row>
    <row r="38" spans="1:21">
      <c r="A38" s="6">
        <v>45057.687939814816</v>
      </c>
      <c r="B38" s="3"/>
      <c r="C38" s="7">
        <v>64</v>
      </c>
      <c r="D38" s="3" t="s">
        <v>9</v>
      </c>
      <c r="E38" s="3" t="s">
        <v>10</v>
      </c>
      <c r="F38" s="3" t="s">
        <v>11</v>
      </c>
      <c r="G38" s="3" t="s">
        <v>12</v>
      </c>
      <c r="H38" s="3"/>
      <c r="I38" s="3"/>
      <c r="J38" s="3"/>
      <c r="K38" s="3"/>
      <c r="L38" s="3"/>
      <c r="M38" s="3"/>
      <c r="N38" s="3"/>
      <c r="O38" s="3" t="s">
        <v>109</v>
      </c>
      <c r="P38" s="8"/>
      <c r="Q38" s="1"/>
      <c r="R38" s="1"/>
      <c r="S38" s="1"/>
      <c r="T38" s="1"/>
      <c r="U38" s="1"/>
    </row>
    <row r="39" spans="1:21" ht="27">
      <c r="A39" s="6">
        <v>45057.692384259259</v>
      </c>
      <c r="B39" s="3"/>
      <c r="C39" s="7">
        <v>63</v>
      </c>
      <c r="D39" s="3" t="s">
        <v>9</v>
      </c>
      <c r="E39" s="3" t="s">
        <v>10</v>
      </c>
      <c r="F39" s="3" t="s">
        <v>11</v>
      </c>
      <c r="G39" s="3" t="s">
        <v>25</v>
      </c>
      <c r="H39" s="3" t="s">
        <v>26</v>
      </c>
      <c r="I39" s="3" t="s">
        <v>54</v>
      </c>
      <c r="J39" s="3" t="s">
        <v>110</v>
      </c>
      <c r="K39" s="3" t="s">
        <v>111</v>
      </c>
      <c r="L39" s="3" t="s">
        <v>99</v>
      </c>
      <c r="M39" s="3" t="s">
        <v>112</v>
      </c>
      <c r="N39" s="3" t="s">
        <v>113</v>
      </c>
      <c r="O39" s="3" t="s">
        <v>114</v>
      </c>
      <c r="P39" s="8"/>
      <c r="Q39" s="1"/>
      <c r="R39" s="1"/>
      <c r="S39" s="1"/>
      <c r="T39" s="1"/>
      <c r="U39" s="1"/>
    </row>
    <row r="40" spans="1:21">
      <c r="A40" s="6">
        <v>45057.709560185183</v>
      </c>
      <c r="B40" s="3"/>
      <c r="C40" s="7">
        <v>62</v>
      </c>
      <c r="D40" s="3" t="s">
        <v>9</v>
      </c>
      <c r="E40" s="3" t="s">
        <v>10</v>
      </c>
      <c r="F40" s="3" t="s">
        <v>11</v>
      </c>
      <c r="G40" s="3" t="s">
        <v>38</v>
      </c>
      <c r="H40" s="3" t="s">
        <v>26</v>
      </c>
      <c r="I40" s="3" t="s">
        <v>54</v>
      </c>
      <c r="J40" s="3" t="s">
        <v>115</v>
      </c>
      <c r="K40" s="3" t="s">
        <v>40</v>
      </c>
      <c r="L40" s="3" t="s">
        <v>116</v>
      </c>
      <c r="M40" s="3" t="s">
        <v>117</v>
      </c>
      <c r="N40" s="3" t="s">
        <v>87</v>
      </c>
      <c r="O40" s="4" t="s">
        <v>118</v>
      </c>
      <c r="P40" s="8"/>
      <c r="Q40" s="1"/>
      <c r="R40" s="1"/>
      <c r="S40" s="1"/>
      <c r="T40" s="1"/>
      <c r="U40" s="1"/>
    </row>
    <row r="41" spans="1:21">
      <c r="A41" s="6">
        <v>45057.859571759262</v>
      </c>
      <c r="B41" s="3"/>
      <c r="C41" s="7">
        <v>62</v>
      </c>
      <c r="D41" s="3" t="s">
        <v>9</v>
      </c>
      <c r="E41" s="3" t="s">
        <v>10</v>
      </c>
      <c r="F41" s="3" t="s">
        <v>11</v>
      </c>
      <c r="G41" s="3" t="s">
        <v>12</v>
      </c>
      <c r="H41" s="3"/>
      <c r="I41" s="3"/>
      <c r="J41" s="3"/>
      <c r="K41" s="3"/>
      <c r="L41" s="3"/>
      <c r="M41" s="3"/>
      <c r="N41" s="3"/>
      <c r="O41" s="4" t="s">
        <v>119</v>
      </c>
      <c r="P41" s="8"/>
      <c r="Q41" s="1"/>
      <c r="R41" s="1"/>
      <c r="S41" s="1"/>
      <c r="T41" s="1"/>
      <c r="U41" s="1"/>
    </row>
    <row r="42" spans="1:21">
      <c r="A42" s="6">
        <v>45058.148599537039</v>
      </c>
      <c r="B42" s="3"/>
      <c r="C42" s="7">
        <v>62</v>
      </c>
      <c r="D42" s="3" t="s">
        <v>9</v>
      </c>
      <c r="E42" s="3" t="s">
        <v>120</v>
      </c>
      <c r="F42" s="3" t="s">
        <v>11</v>
      </c>
      <c r="G42" s="3" t="s">
        <v>12</v>
      </c>
      <c r="H42" s="3"/>
      <c r="I42" s="3"/>
      <c r="J42" s="3"/>
      <c r="K42" s="3"/>
      <c r="L42" s="3"/>
      <c r="M42" s="3"/>
      <c r="N42" s="3"/>
      <c r="O42" s="4" t="s">
        <v>121</v>
      </c>
      <c r="P42" s="8"/>
      <c r="Q42" s="1"/>
      <c r="R42" s="1"/>
      <c r="S42" s="1"/>
      <c r="T42" s="1"/>
      <c r="U42" s="1"/>
    </row>
    <row r="43" spans="1:21">
      <c r="A43" s="6">
        <v>45059.762870370374</v>
      </c>
      <c r="B43" s="3" t="s">
        <v>153</v>
      </c>
      <c r="C43" s="7">
        <v>58</v>
      </c>
      <c r="D43" s="3" t="s">
        <v>9</v>
      </c>
      <c r="E43" s="3" t="s">
        <v>10</v>
      </c>
      <c r="F43" s="3" t="s">
        <v>11</v>
      </c>
      <c r="G43" s="3" t="s">
        <v>12</v>
      </c>
      <c r="H43" s="3"/>
      <c r="I43" s="3"/>
      <c r="J43" s="3"/>
      <c r="K43" s="3"/>
      <c r="L43" s="3"/>
      <c r="M43" s="3"/>
      <c r="N43" s="3"/>
      <c r="O43" s="4" t="s">
        <v>122</v>
      </c>
      <c r="P43" s="8"/>
      <c r="Q43" s="1"/>
      <c r="R43" s="1"/>
      <c r="S43" s="1"/>
      <c r="T43" s="1"/>
      <c r="U43" s="1"/>
    </row>
    <row r="44" spans="1:21">
      <c r="B44" s="5" t="s">
        <v>149</v>
      </c>
      <c r="C44" s="5">
        <v>26</v>
      </c>
      <c r="D44" s="5" t="s">
        <v>19</v>
      </c>
      <c r="E44" s="5" t="s">
        <v>138</v>
      </c>
      <c r="F44" s="5" t="s">
        <v>48</v>
      </c>
      <c r="G44" s="5" t="s">
        <v>53</v>
      </c>
      <c r="H44" s="5" t="s">
        <v>139</v>
      </c>
      <c r="I44" s="5" t="s">
        <v>15</v>
      </c>
      <c r="J44" s="5" t="s">
        <v>154</v>
      </c>
      <c r="K44" s="5" t="s">
        <v>151</v>
      </c>
      <c r="L44" s="5" t="s">
        <v>155</v>
      </c>
      <c r="M44" s="5" t="s">
        <v>156</v>
      </c>
      <c r="N44" s="5" t="s">
        <v>152</v>
      </c>
      <c r="O44" s="5" t="s">
        <v>157</v>
      </c>
    </row>
    <row r="45" spans="1:21">
      <c r="B45" s="5" t="s">
        <v>149</v>
      </c>
      <c r="C45" s="5">
        <v>25</v>
      </c>
      <c r="D45" s="5" t="s">
        <v>19</v>
      </c>
      <c r="E45" s="5" t="s">
        <v>10</v>
      </c>
      <c r="F45" s="5" t="s">
        <v>13</v>
      </c>
      <c r="G45" s="5" t="s">
        <v>38</v>
      </c>
      <c r="H45" s="5" t="s">
        <v>139</v>
      </c>
      <c r="I45" s="5" t="s">
        <v>27</v>
      </c>
      <c r="J45" s="5" t="s">
        <v>150</v>
      </c>
      <c r="K45" s="5" t="s">
        <v>151</v>
      </c>
      <c r="L45" s="5" t="s">
        <v>158</v>
      </c>
      <c r="M45" s="5" t="s">
        <v>159</v>
      </c>
      <c r="N45" s="5" t="s">
        <v>160</v>
      </c>
      <c r="O45" s="5" t="s">
        <v>161</v>
      </c>
    </row>
    <row r="46" spans="1:21">
      <c r="B46" s="5" t="s">
        <v>149</v>
      </c>
      <c r="C46" s="5">
        <v>25</v>
      </c>
      <c r="D46" s="5" t="s">
        <v>19</v>
      </c>
      <c r="E46" s="5" t="s">
        <v>10</v>
      </c>
      <c r="F46" s="5" t="s">
        <v>13</v>
      </c>
      <c r="G46" s="5" t="s">
        <v>146</v>
      </c>
      <c r="H46" s="5" t="s">
        <v>26</v>
      </c>
      <c r="I46" s="5" t="s">
        <v>27</v>
      </c>
      <c r="J46" s="5" t="s">
        <v>150</v>
      </c>
      <c r="K46" s="5" t="s">
        <v>151</v>
      </c>
      <c r="L46" s="5" t="s">
        <v>91</v>
      </c>
      <c r="M46" s="5" t="s">
        <v>162</v>
      </c>
      <c r="N46" s="5" t="s">
        <v>152</v>
      </c>
      <c r="O46" s="5" t="s">
        <v>163</v>
      </c>
    </row>
  </sheetData>
  <autoFilter ref="A1:U43" xr:uid="{35B5A8EB-8CED-40A4-8775-EBD6BB9A20E4}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Form">
                <anchor moveWithCells="1" sizeWithCells="1">
                  <from>
                    <xdr:col>22</xdr:col>
                    <xdr:colOff>601980</xdr:colOff>
                    <xdr:row>0</xdr:row>
                    <xdr:rowOff>381000</xdr:rowOff>
                  </from>
                  <to>
                    <xdr:col>25</xdr:col>
                    <xdr:colOff>106680</xdr:colOff>
                    <xdr:row>0</xdr:row>
                    <xdr:rowOff>929640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8E21-6EA4-466C-9875-74D2247A5A18}">
  <sheetPr codeName="Sheet2"/>
  <dimension ref="A1:I6"/>
  <sheetViews>
    <sheetView workbookViewId="0">
      <selection activeCell="I2" sqref="I2:I6"/>
    </sheetView>
  </sheetViews>
  <sheetFormatPr defaultRowHeight="14.4"/>
  <cols>
    <col min="1" max="2" width="25.44140625" customWidth="1"/>
    <col min="3" max="3" width="14.21875" customWidth="1"/>
    <col min="5" max="5" width="13.44140625" customWidth="1"/>
    <col min="7" max="7" width="16.6640625" customWidth="1"/>
    <col min="9" max="9" width="104.33203125" customWidth="1"/>
  </cols>
  <sheetData>
    <row r="1" spans="1:9">
      <c r="A1" t="s">
        <v>132</v>
      </c>
      <c r="C1" t="s">
        <v>136</v>
      </c>
      <c r="E1" t="s">
        <v>145</v>
      </c>
      <c r="G1" t="s">
        <v>134</v>
      </c>
      <c r="I1" s="25" t="s">
        <v>141</v>
      </c>
    </row>
    <row r="2" spans="1:9">
      <c r="A2" t="s">
        <v>24</v>
      </c>
      <c r="C2" t="s">
        <v>96</v>
      </c>
      <c r="E2" t="s">
        <v>146</v>
      </c>
      <c r="G2" t="s">
        <v>26</v>
      </c>
      <c r="I2" t="s">
        <v>142</v>
      </c>
    </row>
    <row r="3" spans="1:9">
      <c r="A3" t="s">
        <v>13</v>
      </c>
      <c r="C3" t="s">
        <v>138</v>
      </c>
      <c r="E3" t="s">
        <v>38</v>
      </c>
      <c r="G3" t="s">
        <v>139</v>
      </c>
      <c r="I3" t="s">
        <v>27</v>
      </c>
    </row>
    <row r="4" spans="1:9">
      <c r="A4" t="s">
        <v>48</v>
      </c>
      <c r="C4" t="s">
        <v>137</v>
      </c>
      <c r="E4" t="s">
        <v>53</v>
      </c>
      <c r="G4" t="s">
        <v>140</v>
      </c>
      <c r="I4" t="s">
        <v>15</v>
      </c>
    </row>
    <row r="5" spans="1:9">
      <c r="A5" t="s">
        <v>35</v>
      </c>
      <c r="C5" t="s">
        <v>10</v>
      </c>
      <c r="E5" t="s">
        <v>25</v>
      </c>
      <c r="G5" t="s">
        <v>14</v>
      </c>
      <c r="I5" t="s">
        <v>143</v>
      </c>
    </row>
    <row r="6" spans="1:9">
      <c r="A6" t="s">
        <v>11</v>
      </c>
      <c r="C6" t="s">
        <v>120</v>
      </c>
      <c r="E6" t="s">
        <v>147</v>
      </c>
      <c r="I6" t="s">
        <v>144</v>
      </c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Idade x Genero</vt:lpstr>
      <vt:lpstr>Dados</vt:lpstr>
      <vt:lpstr>Listas</vt:lpstr>
      <vt:lpstr>listafrequencia</vt:lpstr>
      <vt:lpstr>listamodal</vt:lpstr>
      <vt:lpstr>listaregiao</vt:lpstr>
      <vt:lpstr>listarenda</vt:lpstr>
      <vt:lpstr>listavalor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Allyssia Nascimento</dc:creator>
  <cp:lastModifiedBy>Allyssia Nascimento</cp:lastModifiedBy>
  <dcterms:created xsi:type="dcterms:W3CDTF">2023-05-17T22:53:48Z</dcterms:created>
  <dcterms:modified xsi:type="dcterms:W3CDTF">2023-05-25T03:37:08Z</dcterms:modified>
</cp:coreProperties>
</file>