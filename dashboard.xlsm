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hidePivotFieldList="1"/>
  <mc:AlternateContent xmlns:mc="http://schemas.openxmlformats.org/markup-compatibility/2006">
    <mc:Choice Requires="x15">
      <x15ac:absPath xmlns:x15ac="http://schemas.microsoft.com/office/spreadsheetml/2010/11/ac" url="C:\Users\Erick\Documents\GitHub\gasappdash\"/>
    </mc:Choice>
  </mc:AlternateContent>
  <xr:revisionPtr revIDLastSave="0" documentId="13_ncr:1_{EBE56D8C-150C-4E37-A6AB-534FB5C91DA1}" xr6:coauthVersionLast="47" xr6:coauthVersionMax="47" xr10:uidLastSave="{00000000-0000-0000-0000-000000000000}"/>
  <bookViews>
    <workbookView xWindow="-120" yWindow="-120" windowWidth="28110" windowHeight="16440" xr2:uid="{41AA7807-EC25-40F5-A094-FD55E8E2FF61}"/>
  </bookViews>
  <sheets>
    <sheet name="MENU" sheetId="1" r:id="rId1"/>
    <sheet name="DASHBOARD" sheetId="5" r:id="rId2"/>
    <sheet name="BACKEND" sheetId="6" r:id="rId3"/>
    <sheet name="INFO" sheetId="7" r:id="rId4"/>
  </sheets>
  <definedNames>
    <definedName name="_xlnm._FilterDatabase" localSheetId="2" hidden="1">BACKEND!$U$16:$V$22</definedName>
    <definedName name="_xlcn.WorksheetConnection_dashboard.xlsxDATA_TB1" hidden="1">DATA_TB[]</definedName>
    <definedName name="SegmentaçãodeDados_Qual_a_sua_Região?">#N/A</definedName>
    <definedName name="SegmentaçãodeDados_Qual_modal_você_utiliza?">#N/A</definedName>
    <definedName name="SegmentaçãodeDados_Qual_seu_gênero?">#N/A</definedName>
    <definedName name="SegmentaçãodeDados_Qual_sua_faixa_de_renda?">#N/A</definedName>
    <definedName name="SegmentaçãodeDados_Qual_sua_idade">#N/A</definedName>
  </definedNames>
  <calcPr calcId="191029"/>
  <extLst>
    <ext xmlns:x14="http://schemas.microsoft.com/office/spreadsheetml/2009/9/main" uri="{876F7934-8845-4945-9796-88D515C7AA90}">
      <x14:pivotCaches>
        <pivotCache cacheId="0" r:id="rId5"/>
      </x14:pivotCaches>
    </ex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" r:id="rId11"/>
        <pivotCache cacheId="2" r:id="rId12"/>
        <pivotCache cacheId="3" r:id="rId13"/>
        <pivotCache cacheId="4" r:id="rId14"/>
        <pivotCache cacheId="5" r:id="rId15"/>
        <pivotCache cacheId="6" r:id="rId16"/>
      </x15:pivotCaches>
    </ext>
    <ext xmlns:x15="http://schemas.microsoft.com/office/spreadsheetml/2010/11/main" uri="{983426D0-5260-488c-9760-48F4B6AC55F4}">
      <x15:pivotTableReferences>
        <x15:pivotTableReference r:id="rId17"/>
        <x15:pivotTableReference r:id="rId18"/>
        <x15:pivotTableReference r:id="rId19"/>
        <x15:pivotTableReference r:id="rId20"/>
        <x15:pivotTableReference r:id="rId21"/>
        <x15:pivotTableReference r:id="rId22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TB" name="DATA_TB" connection="WorksheetConnection_dashboard.xlsx!DATA_T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" i="6" l="1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C9" i="6"/>
  <c r="Q11" i="6" a="1"/>
  <c r="Q11" i="6" s="1"/>
  <c r="Q12" i="6" a="1"/>
  <c r="Q12" i="6" s="1"/>
  <c r="Q13" i="6" a="1"/>
  <c r="Q13" i="6" s="1"/>
  <c r="Q14" i="6" a="1"/>
  <c r="Q14" i="6" s="1"/>
  <c r="Q15" i="6" a="1"/>
  <c r="Q15" i="6" s="1"/>
  <c r="Q16" i="6" a="1"/>
  <c r="Q16" i="6" s="1"/>
  <c r="Q17" i="6" a="1"/>
  <c r="Q17" i="6" s="1"/>
  <c r="Q18" i="6" a="1"/>
  <c r="Q18" i="6" s="1"/>
  <c r="Q19" i="6" a="1"/>
  <c r="Q19" i="6" s="1"/>
  <c r="Q20" i="6" a="1"/>
  <c r="Q20" i="6" s="1"/>
  <c r="Q21" i="6" a="1"/>
  <c r="Q21" i="6" s="1"/>
  <c r="Q22" i="6" a="1"/>
  <c r="Q22" i="6" s="1"/>
  <c r="Q23" i="6" a="1"/>
  <c r="Q23" i="6" s="1"/>
  <c r="Q24" i="6" a="1"/>
  <c r="Q24" i="6" s="1"/>
  <c r="Q25" i="6" a="1"/>
  <c r="Q25" i="6" s="1"/>
  <c r="Q26" i="6" a="1"/>
  <c r="Q26" i="6" s="1"/>
  <c r="Q27" i="6" a="1"/>
  <c r="Q27" i="6" s="1"/>
  <c r="Q28" i="6" a="1"/>
  <c r="Q28" i="6" s="1"/>
  <c r="Q29" i="6" a="1"/>
  <c r="Q29" i="6" s="1"/>
  <c r="Q30" i="6" a="1"/>
  <c r="Q30" i="6" s="1"/>
  <c r="Q31" i="6" a="1"/>
  <c r="Q31" i="6" s="1"/>
  <c r="Q32" i="6" a="1"/>
  <c r="Q32" i="6" s="1"/>
  <c r="Q33" i="6" a="1"/>
  <c r="Q33" i="6" s="1"/>
  <c r="Q34" i="6" a="1"/>
  <c r="Q34" i="6" s="1"/>
  <c r="Q35" i="6" a="1"/>
  <c r="Q35" i="6" s="1"/>
  <c r="Q36" i="6" a="1"/>
  <c r="Q36" i="6" s="1"/>
  <c r="Q37" i="6" a="1"/>
  <c r="Q37" i="6" s="1"/>
  <c r="Q38" i="6" a="1"/>
  <c r="Q38" i="6" s="1"/>
  <c r="Q39" i="6" a="1"/>
  <c r="Q39" i="6" s="1"/>
  <c r="Q40" i="6" a="1"/>
  <c r="Q40" i="6" s="1"/>
  <c r="Q41" i="6" a="1"/>
  <c r="Q41" i="6" s="1"/>
  <c r="Q42" i="6" a="1"/>
  <c r="Q42" i="6" s="1"/>
  <c r="Q43" i="6" a="1"/>
  <c r="Q43" i="6" s="1"/>
  <c r="Q44" i="6" a="1"/>
  <c r="Q44" i="6" s="1"/>
  <c r="Q45" i="6" a="1"/>
  <c r="Q45" i="6" s="1"/>
  <c r="Q46" i="6" a="1"/>
  <c r="Q46" i="6" s="1"/>
  <c r="Q47" i="6" a="1"/>
  <c r="Q47" i="6" s="1"/>
  <c r="Q48" i="6" a="1"/>
  <c r="Q48" i="6" s="1"/>
  <c r="Q49" i="6" a="1"/>
  <c r="Q49" i="6" s="1"/>
  <c r="Q50" i="6" a="1"/>
  <c r="Q50" i="6" s="1"/>
  <c r="Q51" i="6" a="1"/>
  <c r="Q51" i="6" s="1"/>
  <c r="Q52" i="6" a="1"/>
  <c r="Q52" i="6" s="1"/>
  <c r="Q53" i="6" a="1"/>
  <c r="Q5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4B3D7E-FFD7-4ECF-967F-BF0B7173961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340973-E061-4123-B41B-CC9C8027D404}" name="WorksheetConnection_dashboard.xlsx!DATA_TB" type="102" refreshedVersion="8" minRefreshableVersion="5">
    <extLst>
      <ext xmlns:x15="http://schemas.microsoft.com/office/spreadsheetml/2010/11/main" uri="{DE250136-89BD-433C-8126-D09CA5730AF9}">
        <x15:connection id="DATA_TB" autoDelete="1">
          <x15:rangePr sourceName="_xlcn.WorksheetConnection_dashboard.xlsxDATA_TB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<sst xmlns="http://schemas.openxmlformats.org/spreadsheetml/2006/main" count="480" uniqueCount="150">
  <si>
    <t>Carimbo de data/hora</t>
  </si>
  <si>
    <t>Endereço de e-mail</t>
  </si>
  <si>
    <t>Qual sua idade</t>
  </si>
  <si>
    <t>Qual seu gênero?</t>
  </si>
  <si>
    <t>Qual a sua Região?</t>
  </si>
  <si>
    <t>Qual sua faixa de renda?</t>
  </si>
  <si>
    <t>Com que frequência você utiliza aplicativos de descontos e vantagens em postos de gasolina?</t>
  </si>
  <si>
    <t>Qual modal você utiliza?</t>
  </si>
  <si>
    <t>Quanto você estima economizar mensalmente usando aplicativos de descontos e vantagens em postos de gasolina?</t>
  </si>
  <si>
    <t>Quais são os principais motivos que levam você a utilizar aplicativos de descontos e vantagens em postos de gasolina?</t>
  </si>
  <si>
    <t>Como você ficou sabendo desses aplicativos de descontos e vantagens? (ex.: amigos, redes sociais, publicidade, funcionários do posto, etc.)</t>
  </si>
  <si>
    <t>Quais aspectos você considera mais importantes em um aplicativo de descontos e vantagens para postos de gasolina? (ex: facilidade de uso, variedade de vantagens, confiabilidade, etc.)</t>
  </si>
  <si>
    <t>Com base em sua experiência, quais melhorias você gostaria de ver nos aplicativos de descontos e vantagens para postos de gasolina?</t>
  </si>
  <si>
    <t>Você já teve algum problema ou dificuldade ao utilizar aplicativos de descontos e vantagens em postos de gasolina? Se sim, descreva o ocorrido e como foi resolvido (se foi resolvido).</t>
  </si>
  <si>
    <t>O que você acredita que um aplicativo de descontos e vantagens deveria ter para que você considerasse utilizá-lo?</t>
  </si>
  <si>
    <t>ofserick@gmail.com</t>
  </si>
  <si>
    <t>Masculino</t>
  </si>
  <si>
    <t>Sudeste</t>
  </si>
  <si>
    <t>Acima de R$ 8.001,00</t>
  </si>
  <si>
    <t>Não utilizo</t>
  </si>
  <si>
    <t>R$ 2.001,00 - R$ 4.000,00</t>
  </si>
  <si>
    <t>Transporte por Aplicativo</t>
  </si>
  <si>
    <t>R$ 101,00 - R$ 150,00</t>
  </si>
  <si>
    <t>economia</t>
  </si>
  <si>
    <t>facilidade</t>
  </si>
  <si>
    <t>viromanuela@gmail.com</t>
  </si>
  <si>
    <t>Feminino</t>
  </si>
  <si>
    <t>Maior validade para uso.</t>
  </si>
  <si>
    <t>thiagorosario10@gmail.com</t>
  </si>
  <si>
    <t>Descontos consideráveis para os postos da região onde vivo, além do próprio app apresentar uma interface limpa e de fácil entendimento e não sofrer problemas como bugs e travamentos.</t>
  </si>
  <si>
    <t>gabriel.casanova.gonela@gmail.com</t>
  </si>
  <si>
    <t>Até R$ 2.000,00</t>
  </si>
  <si>
    <t>Mensalmente</t>
  </si>
  <si>
    <t>Carro</t>
  </si>
  <si>
    <t>R$ 51,00 - R$ 100,00</t>
  </si>
  <si>
    <t>Assim posso aproveitar o dinheiro gasto da melhor forma possível</t>
  </si>
  <si>
    <t>Recomendações de amigos</t>
  </si>
  <si>
    <t>Variedades de vantagens e confiabilidade</t>
  </si>
  <si>
    <t>Gostaria que tivesse mais formar de adquirir descontos e vantagens como por exemplo alguma promoção especial</t>
  </si>
  <si>
    <t>Nunca tive</t>
  </si>
  <si>
    <t>Uma vantagem que atraia o cliente com confiabilidade e vantagens</t>
  </si>
  <si>
    <t>arivascsts@icloud.com</t>
  </si>
  <si>
    <t>R$ 6.001,00 - R$ 8.000,00</t>
  </si>
  <si>
    <t>Desconto e vale ducha</t>
  </si>
  <si>
    <t>gabrielsrocha37@gmail.com</t>
  </si>
  <si>
    <t>Semanalmente</t>
  </si>
  <si>
    <t>Os benefícios e descontos.</t>
  </si>
  <si>
    <t>Publicidade</t>
  </si>
  <si>
    <t>Facilidade no uso</t>
  </si>
  <si>
    <t>Mais benefícios e cashback.</t>
  </si>
  <si>
    <t>Problemas no login do aplicativo, depois de reinstalar 5 vezes consegui acessar.</t>
  </si>
  <si>
    <t>Descontos no abastecimento e brindes.</t>
  </si>
  <si>
    <t>thallysjanuario@gmail.com</t>
  </si>
  <si>
    <t>Descontos reais e não simbólicos, pois um abastecimento de R$ 100 muitas vezes não chega a R$ 5 de desconto, e as vantagens não agradam tanto.</t>
  </si>
  <si>
    <t>maurobronquinha1972@gmail.com</t>
  </si>
  <si>
    <t>R$ 4.001,00 - R$ 6.000,00</t>
  </si>
  <si>
    <t>Eu na real não sei qual os tipos de vantagens eles tem</t>
  </si>
  <si>
    <t>luisa_siqueira8@hotmail.com</t>
  </si>
  <si>
    <t>Ter benefícios reais ao cliente</t>
  </si>
  <si>
    <t>marcosantoniojr@hotmail.com</t>
  </si>
  <si>
    <t>Quinzenalmente</t>
  </si>
  <si>
    <t>Até R$ 50,00</t>
  </si>
  <si>
    <t>Economia</t>
  </si>
  <si>
    <t>Mais desconto</t>
  </si>
  <si>
    <t>Sim, fora do ar.</t>
  </si>
  <si>
    <t>Desconto</t>
  </si>
  <si>
    <t>Ser facil</t>
  </si>
  <si>
    <t>Bastante desconto</t>
  </si>
  <si>
    <t>Usa lo em vários postos da mesma bandeira</t>
  </si>
  <si>
    <t>Ter postos bom como participantes e fácil entendimento para os usuários</t>
  </si>
  <si>
    <t>Praticidade</t>
  </si>
  <si>
    <t>Sim</t>
  </si>
  <si>
    <t>Combustível está caro</t>
  </si>
  <si>
    <t>Funcionário do posto</t>
  </si>
  <si>
    <t>Facilidade de uso e boa vantagem</t>
  </si>
  <si>
    <t>Mais ágil</t>
  </si>
  <si>
    <t>Sim, o app estava fora do ar, não resolvi d imediato</t>
  </si>
  <si>
    <t>Bom desconto e q fosse progressivo.</t>
  </si>
  <si>
    <t>Preço</t>
  </si>
  <si>
    <t>Boa divulgação. Promoções atrativas.</t>
  </si>
  <si>
    <t>Tutorial didático e melhores orientações e benefícios.</t>
  </si>
  <si>
    <t>Descontos</t>
  </si>
  <si>
    <t>Vantagens por utilizar frequentemente ou descontos e promoções</t>
  </si>
  <si>
    <t>Simplicidade e objetividade da plataforma</t>
  </si>
  <si>
    <t>pereira.lais99@gmail.com</t>
  </si>
  <si>
    <t>Uma melhor propaganda e uma manejo certo para que os descontos sejam mais atrativos</t>
  </si>
  <si>
    <t>Facilidade para usar o desconto. Por exemplo: não vincular o desconto com cartão de crédito, vc tem que informar dados do cartão para ter o desconto.</t>
  </si>
  <si>
    <t>Desconto na gasosa e acessibilidade</t>
  </si>
  <si>
    <t>Bons descontos</t>
  </si>
  <si>
    <t>Transparencia</t>
  </si>
  <si>
    <t>Desconto para viagens, quanto mais usar o aplicativo ir acumulando pontos e trocar por abastecimento</t>
  </si>
  <si>
    <t>O desconto</t>
  </si>
  <si>
    <t>Vantagens</t>
  </si>
  <si>
    <t>Mais acessível</t>
  </si>
  <si>
    <t>Não</t>
  </si>
  <si>
    <t>Mais promoções</t>
  </si>
  <si>
    <t>o restorno em cash</t>
  </si>
  <si>
    <t>publicidade - posto de gasolina</t>
  </si>
  <si>
    <t>facilidade de uso</t>
  </si>
  <si>
    <t>Descontos em cash</t>
  </si>
  <si>
    <t>O próprio aplicativo trava ou não responde.</t>
  </si>
  <si>
    <t>descontos em cash</t>
  </si>
  <si>
    <t>Facilidade</t>
  </si>
  <si>
    <t>Centro-Oeste</t>
  </si>
  <si>
    <t>Descontos promocionais.</t>
  </si>
  <si>
    <t>Publicidade, internet, indicação de amigos.</t>
  </si>
  <si>
    <t>Variedade de vantagens</t>
  </si>
  <si>
    <t>Mais opções vantajosas.</t>
  </si>
  <si>
    <t>Sim, no posto Ipiranga (fora do ar, inoperante).</t>
  </si>
  <si>
    <t>Sorteios mensais, em espécie ou produtos.</t>
  </si>
  <si>
    <t>Custo, benefício. Economia em postos de confiança. Eu utilizo vários aplicativos de desconto em vários comércios.</t>
  </si>
  <si>
    <t>Publicidade e Redes Sociais</t>
  </si>
  <si>
    <t>Facilidade de uso, clareza nas informações, e maior agilidade. Confiabilidade já deveria estar presente devido a LGPD</t>
  </si>
  <si>
    <t>Programa de fidelidade, informações claras e manejo objetivo.</t>
  </si>
  <si>
    <t>Sim. Demora na navegação, não reconhece o cupom, para mudar senha é terrível.</t>
  </si>
  <si>
    <t>Proteção dos dados e objetividade no manejo.</t>
  </si>
  <si>
    <t>Incentivo e divulgação</t>
  </si>
  <si>
    <t>Economia de custos.</t>
  </si>
  <si>
    <t>Posto Ipiranga</t>
  </si>
  <si>
    <t>Serviços nos postos como por exemplo ducha no carro</t>
  </si>
  <si>
    <t>Não.</t>
  </si>
  <si>
    <t>Estou satisfeito.</t>
  </si>
  <si>
    <t>Para fazer economia</t>
  </si>
  <si>
    <t>Variedades de vantagens</t>
  </si>
  <si>
    <t>Que os pontos não expirassem</t>
  </si>
  <si>
    <t>Não expirar os pontos adquiridos</t>
  </si>
  <si>
    <t>Que proporcione uma vantagem real.</t>
  </si>
  <si>
    <t>Sul</t>
  </si>
  <si>
    <t>Agilidade nos descontos e que fossem verdadeiramente, descontos.</t>
  </si>
  <si>
    <t>Bons convênios e cashback em abastecimento</t>
  </si>
  <si>
    <t>Entre 31 e 59 anos</t>
  </si>
  <si>
    <t>Entre 22 e 30 anos</t>
  </si>
  <si>
    <t>Entre 18 e 21 anos</t>
  </si>
  <si>
    <t>Maior que 60 anos</t>
  </si>
  <si>
    <t>Estado (Placeholder)</t>
  </si>
  <si>
    <t>SP</t>
  </si>
  <si>
    <t>RJ</t>
  </si>
  <si>
    <t>SC</t>
  </si>
  <si>
    <t>DF</t>
  </si>
  <si>
    <t>abrielrocha@outlook.com</t>
  </si>
  <si>
    <t>Eu utilizaria caso fosse uma coisa mais prática</t>
  </si>
  <si>
    <t>Renda Suporte</t>
  </si>
  <si>
    <t>Estabilidade</t>
  </si>
  <si>
    <t>Facilidade de Uso</t>
  </si>
  <si>
    <t>Abrangência</t>
  </si>
  <si>
    <t>Indeterminado</t>
  </si>
  <si>
    <t>Vantagens &amp; Benefícios</t>
  </si>
  <si>
    <t>To Have Suporte</t>
  </si>
  <si>
    <t>To Have Suporte2</t>
  </si>
  <si>
    <t>Contagem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</si>
</sst>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rial Rounded MT Bold"/>
      <family val="2"/>
      <scheme val="minor"/>
    </font>
    <font>
      <sz val="24"/>
      <color theme="7" tint="0.39997558519241921"/>
      <name val="Arial Rounded MT Bold"/>
      <family val="2"/>
    </font>
    <font>
      <b/>
      <sz val="24"/>
      <color theme="4" tint="-0.249977111117893"/>
      <name val="Arial Rounded MT Bold"/>
      <family val="2"/>
    </font>
    <font>
      <b/>
      <sz val="24"/>
      <color rgb="FF0042BB"/>
      <name val="Arial Rounded MT Bold"/>
      <family val="2"/>
    </font>
    <font>
      <sz val="11"/>
      <color theme="2"/>
      <name val="Arial Rounded MT Bold"/>
      <family val="2"/>
      <scheme val="minor"/>
    </font>
    <font>
      <sz val="11"/>
      <color theme="1"/>
      <name val="Arial Rounded MT Bold"/>
      <family val="2"/>
      <scheme val="minor"/>
    </font>
    <font>
      <sz val="8"/>
      <name val="Arial Rounded MT Bold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4" fillId="2" borderId="0" xfId="0" applyFont="1" applyFill="1"/>
    <xf numFmtId="164" fontId="0" fillId="2" borderId="0" xfId="0" applyNumberFormat="1" applyFill="1"/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9" fontId="0" fillId="0" borderId="0" xfId="1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0" fillId="3" borderId="0" xfId="0" applyFill="1"/>
    <xf numFmtId="0" fontId="3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26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64" formatCode="_-[$R$-416]\ * #,##0.00_-;\-[$R$-416]\ * #,##0.00_-;_-[$R$-416]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rgb="FF0E1A40"/>
        <name val="Arial Rounded MT Bold"/>
        <family val="2"/>
        <scheme val="none"/>
      </font>
    </dxf>
    <dxf>
      <font>
        <color rgb="FF0E1A40"/>
      </font>
    </dxf>
  </dxfs>
  <tableStyles count="2" defaultTableStyle="TableStyleMedium2" defaultPivotStyle="PivotStyleLight16">
    <tableStyle name="Estilo de Segmentação de Dados 1" pivot="0" table="0" count="4" xr9:uid="{60A588E2-C32D-4A96-A7C3-93E86EB36D73}">
      <tableStyleElement type="wholeTable" dxfId="25"/>
      <tableStyleElement type="headerRow" dxfId="24"/>
    </tableStyle>
    <tableStyle name="SlicerStyleDark1 2" pivot="0" table="0" count="10" xr9:uid="{9A6655CA-70AE-4720-9632-16DA29D433AB}">
      <tableStyleElement type="wholeTable" dxfId="23"/>
      <tableStyleElement type="headerRow" dxfId="22"/>
    </tableStyle>
  </tableStyles>
  <colors>
    <mruColors>
      <color rgb="FF0E1A40"/>
      <color rgb="FF0042BB"/>
      <color rgb="FF192E71"/>
      <color rgb="FFFFF4CC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0E1A40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E1A40"/>
          </font>
          <fill>
            <patternFill>
              <bgColor theme="0"/>
            </patternFill>
          </fill>
        </dxf>
        <dxf>
          <font>
            <color theme="0"/>
            <name val="Arial Rounded MT Bold"/>
            <family val="2"/>
            <scheme val="none"/>
          </font>
          <fill>
            <patternFill patternType="solid">
              <fgColor auto="1"/>
              <bgColor rgb="FF0E1A4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pivotTable" Target="pivotTables/pivotTable2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openxmlformats.org/officeDocument/2006/relationships/pivotTable" Target="pivotTables/pivotTable5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7" Type="http://schemas.microsoft.com/office/2007/relationships/slicerCache" Target="slicerCaches/slicerCache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pivotCacheDefinition" Target="pivotCache/pivotCacheDefinition2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6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10" Type="http://schemas.microsoft.com/office/2007/relationships/slicerCache" Target="slicerCaches/slicerCache5.xml"/><Relationship Id="rId19" Type="http://schemas.openxmlformats.org/officeDocument/2006/relationships/pivotTable" Target="pivotTables/pivotTable3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pivotCacheDefinition" Target="pivotCache/pivotCacheDefinition5.xml"/><Relationship Id="rId22" Type="http://schemas.openxmlformats.org/officeDocument/2006/relationships/pivotTable" Target="pivotTables/pivotTable6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8" Type="http://schemas.microsoft.com/office/2007/relationships/slicerCache" Target="slicerCaches/slicerCache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openxmlformats.org/officeDocument/2006/relationships/pivotTable" Target="pivotTables/pivotTable1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20" Type="http://schemas.openxmlformats.org/officeDocument/2006/relationships/pivotTable" Target="pivotTables/pivotTable4.xml"/><Relationship Id="rId41" Type="http://schemas.openxmlformats.org/officeDocument/2006/relationships/customXml" Target="../customXml/item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6282048971874142E-2"/>
              <c:y val="-4.5393063038507595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-4.456824946989908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42B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9743587631427795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C9321F20-F916-422F-8A86-1CAE31FAE491}" type="PERCENTAGE">
                  <a:rPr lang="en-US" sz="1100" baseline="0"/>
                  <a:pPr>
                    <a:defRPr sz="1100" b="1">
                      <a:solidFill>
                        <a:srgbClr val="0E1A40"/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1.485608315663302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7435896907856987E-2"/>
              <c:y val="-7.42804157831651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4F17A1DE-BB7F-4B42-82A0-4814CB1074A4}" type="PERCENTAGE">
                  <a:rPr lang="en-US" sz="1100" baseline="0"/>
                  <a:pPr>
                    <a:defRPr sz="1100" b="1">
                      <a:solidFill>
                        <a:srgbClr val="0E1A40"/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rgbClr val="0E1A4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DA-4CF2-B40A-8E6EB0E734D8}"/>
              </c:ext>
            </c:extLst>
          </c:dPt>
          <c:dPt>
            <c:idx val="1"/>
            <c:bubble3D val="0"/>
            <c:spPr>
              <a:solidFill>
                <a:srgbClr val="0042B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1DA-4CF2-B40A-8E6EB0E734D8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1DA-4CF2-B40A-8E6EB0E734D8}"/>
              </c:ext>
            </c:extLst>
          </c:dPt>
          <c:dPt>
            <c:idx val="3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1DA-4CF2-B40A-8E6EB0E734D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1DA-4CF2-B40A-8E6EB0E734D8}"/>
              </c:ext>
            </c:extLst>
          </c:dPt>
          <c:dLbls>
            <c:dLbl>
              <c:idx val="0"/>
              <c:layout>
                <c:manualLayout>
                  <c:x val="7.6282048971874142E-2"/>
                  <c:y val="-4.5393063038507595E-17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DA-4CF2-B40A-8E6EB0E734D8}"/>
                </c:ext>
              </c:extLst>
            </c:dLbl>
            <c:dLbl>
              <c:idx val="1"/>
              <c:layout>
                <c:manualLayout>
                  <c:x val="6.9743587631427795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E1A4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9321F20-F916-422F-8A86-1CAE31FAE491}" type="PERCENTAGE">
                      <a:rPr lang="en-US" sz="1100" baseline="0"/>
                      <a:pPr>
                        <a:defRPr sz="1100" b="1">
                          <a:solidFill>
                            <a:srgbClr val="0E1A40"/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1"/>
              <c:showVal val="0"/>
              <c:showCatName val="0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1DA-4CF2-B40A-8E6EB0E734D8}"/>
                </c:ext>
              </c:extLst>
            </c:dLbl>
            <c:dLbl>
              <c:idx val="2"/>
              <c:layout>
                <c:manualLayout>
                  <c:x val="-6.5384613404463554E-2"/>
                  <c:y val="1.4856083156633027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DA-4CF2-B40A-8E6EB0E734D8}"/>
                </c:ext>
              </c:extLst>
            </c:dLbl>
            <c:dLbl>
              <c:idx val="3"/>
              <c:layout>
                <c:manualLayout>
                  <c:x val="-6.5384613404463554E-2"/>
                  <c:y val="-4.4568249469899082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DA-4CF2-B40A-8E6EB0E734D8}"/>
                </c:ext>
              </c:extLst>
            </c:dLbl>
            <c:dLbl>
              <c:idx val="4"/>
              <c:layout>
                <c:manualLayout>
                  <c:x val="-1.7435896907856987E-2"/>
                  <c:y val="-7.4280415783165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E1A4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17A1DE-BB7F-4B42-82A0-4814CB1074A4}" type="PERCENTAGE">
                      <a:rPr lang="en-US" sz="1100" baseline="0"/>
                      <a:pPr>
                        <a:defRPr sz="1100" b="1">
                          <a:solidFill>
                            <a:srgbClr val="0E1A40"/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1"/>
              <c:showVal val="0"/>
              <c:showCatName val="0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1DA-4CF2-B40A-8E6EB0E734D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Acima de R$ 8.001,00</c:v>
              </c:pt>
              <c:pt idx="1">
                <c:v>R$ 2.001,00 - R$ 4.000,00</c:v>
              </c:pt>
              <c:pt idx="2">
                <c:v>R$ 4.001,00 - R$ 6.000,00</c:v>
              </c:pt>
              <c:pt idx="3">
                <c:v>Até R$ 2.000,00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12</c:v>
              </c:pt>
              <c:pt idx="2">
                <c:v>11</c:v>
              </c:pt>
              <c:pt idx="3">
                <c:v>6</c:v>
              </c:pt>
              <c:pt idx="4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A-7AA4-4C5A-B1D9-1DC7265CD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[dashboard.xlsm]PivotChartTable4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Frequência de Uso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Não utilizo</c:v>
              </c:pt>
              <c:pt idx="1">
                <c:v>Mensalmente</c:v>
              </c:pt>
              <c:pt idx="2">
                <c:v>Semanalmente</c:v>
              </c:pt>
              <c:pt idx="3">
                <c:v>Quinzenalmente</c:v>
              </c:pt>
            </c:strLit>
          </c:cat>
          <c:val>
            <c:numLit>
              <c:formatCode>0.00%</c:formatCode>
              <c:ptCount val="4"/>
              <c:pt idx="0">
                <c:v>0.76744186046511631</c:v>
              </c:pt>
              <c:pt idx="1">
                <c:v>9.3023255813953487E-2</c:v>
              </c:pt>
              <c:pt idx="2">
                <c:v>6.9767441860465115E-2</c:v>
              </c:pt>
              <c:pt idx="3">
                <c:v>6.9767441860465115E-2</c:v>
              </c:pt>
            </c:numLit>
          </c:val>
          <c:extLst>
            <c:ext xmlns:c16="http://schemas.microsoft.com/office/drawing/2014/chart" uri="{C3380CC4-5D6E-409C-BE32-E72D297353CC}">
              <c16:uniqueId val="{0000000E-5BD2-4768-8E98-E436B5B5B3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0.0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[dashboard.xlsm]PivotChartTable5</c15:name>
        <c15:fmtId val="3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Renda/Gênero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Feminino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R$ 2.001,00 - R$ 4.000,00</c:v>
              </c:pt>
              <c:pt idx="1">
                <c:v>Acima de R$ 8.001,00</c:v>
              </c:pt>
              <c:pt idx="2">
                <c:v>Até R$ 2.000,00</c:v>
              </c:pt>
              <c:pt idx="3">
                <c:v>R$ 4.001,00 - R$ 6.000,00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5</c:v>
              </c:pt>
              <c:pt idx="1">
                <c:v>1</c:v>
              </c:pt>
              <c:pt idx="2">
                <c:v>4</c:v>
              </c:pt>
              <c:pt idx="3">
                <c:v>5</c:v>
              </c:pt>
              <c:pt idx="4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400E-4F83-A19F-445E33357AAC}"/>
            </c:ext>
          </c:extLst>
        </c:ser>
        <c:ser>
          <c:idx val="1"/>
          <c:order val="1"/>
          <c:tx>
            <c:v>Masculino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R$ 2.001,00 - R$ 4.000,00</c:v>
              </c:pt>
              <c:pt idx="1">
                <c:v>Acima de R$ 8.001,00</c:v>
              </c:pt>
              <c:pt idx="2">
                <c:v>Até R$ 2.000,00</c:v>
              </c:pt>
              <c:pt idx="3">
                <c:v>R$ 4.001,00 - R$ 6.000,00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7</c:v>
              </c:pt>
              <c:pt idx="1">
                <c:v>11</c:v>
              </c:pt>
              <c:pt idx="2">
                <c:v>2</c:v>
              </c:pt>
              <c:pt idx="3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6-560E-4B55-9EBE-B1F9DABEA3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[dashboard.xlsm]PivotChartTable6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Modais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Carro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0-A2C2-47E8-9AF6-00BD7894C1AF}"/>
            </c:ext>
          </c:extLst>
        </c:ser>
        <c:ser>
          <c:idx val="1"/>
          <c:order val="1"/>
          <c:tx>
            <c:v>Transporte por Aplicativo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7-A2C2-47E8-9AF6-00BD7894C1A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99055375"/>
        <c:axId val="299059695"/>
      </c:barChart>
      <c:catAx>
        <c:axId val="299055375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[dashboard.xlsm]PivotChartTable7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Motivação Utilização</a:t>
            </a:r>
            <a:r>
              <a:rPr lang="pt-BR" baseline="0">
                <a:solidFill>
                  <a:srgbClr val="0E1A40"/>
                </a:solidFill>
              </a:rPr>
              <a:t> App</a:t>
            </a:r>
            <a:endParaRPr lang="pt-BR">
              <a:solidFill>
                <a:srgbClr val="0E1A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Lit>
              <c:ptCount val="6"/>
              <c:pt idx="0">
                <c:v>Abrangência</c:v>
              </c:pt>
              <c:pt idx="1">
                <c:v>Descontos</c:v>
              </c:pt>
              <c:pt idx="2">
                <c:v>Estabilidade</c:v>
              </c:pt>
              <c:pt idx="3">
                <c:v>Facilidade de Uso</c:v>
              </c:pt>
              <c:pt idx="4">
                <c:v>Indeterminado</c:v>
              </c:pt>
              <c:pt idx="5">
                <c:v>Vantagens &amp; Benefícios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14</c:v>
              </c:pt>
              <c:pt idx="2">
                <c:v>1</c:v>
              </c:pt>
              <c:pt idx="3">
                <c:v>11</c:v>
              </c:pt>
              <c:pt idx="4">
                <c:v>6</c:v>
              </c:pt>
              <c:pt idx="5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96DD-470B-B1CD-4FEACE8CE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55375"/>
        <c:axId val="299059695"/>
      </c:radarChart>
      <c:catAx>
        <c:axId val="29905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0"/>
        <c:axPos val="l"/>
        <c:majorGridlines>
          <c:spPr>
            <a:ln w="25400" cap="flat" cmpd="sng" algn="ctr">
              <a:solidFill>
                <a:schemeClr val="accent1">
                  <a:lumMod val="10000"/>
                  <a:alpha val="68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5375"/>
        <c:crosses val="autoZero"/>
        <c:crossBetween val="between"/>
        <c:majorUnit val="5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[dashboard.xlsm]PivotChartTable8</c15:name>
        <c15:fmtId val="8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>
            <a:noFill/>
          </a:ln>
          <a:effectLst/>
        </c:spPr>
        <c:dLbl>
          <c:idx val="0"/>
          <c:layout>
            <c:manualLayout>
              <c:x val="1.119806510415197E-2"/>
              <c:y val="-0.490505966785341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>
            <a:noFill/>
          </a:ln>
          <a:effectLst/>
        </c:spPr>
        <c:dLbl>
          <c:idx val="0"/>
          <c:layout>
            <c:manualLayout>
              <c:x val="-8.5812808625766225E-7"/>
              <c:y val="-0.721275901582653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0"/>
        <c:ser>
          <c:idx val="0"/>
          <c:order val="0"/>
          <c:tx>
            <c:v>Total</c:v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7-4B36-ABE0-E8E6658D96DB}"/>
              </c:ext>
            </c:extLst>
          </c:dPt>
          <c:dLbls>
            <c:dLbl>
              <c:idx val="0"/>
              <c:layout>
                <c:manualLayout>
                  <c:x val="-8.5812808625766225E-7"/>
                  <c:y val="-0.7212759015826535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F7-4B36-ABE0-E8E6658D96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43</c:v>
              </c:pt>
            </c:numLit>
          </c:val>
          <c:extLst>
            <c:ext xmlns:c16="http://schemas.microsoft.com/office/drawing/2014/chart" uri="{C3380CC4-5D6E-409C-BE32-E72D297353CC}">
              <c16:uniqueId val="{00000001-91F7-4B36-ABE0-E8E6658D96D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[dashboard.xlsm]PivotChartTable9</c15:name>
        <c15:fmtId val="8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18" Type="http://schemas.openxmlformats.org/officeDocument/2006/relationships/chart" Target="../charts/chart5.xml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chart" Target="../charts/chart4.xml"/><Relationship Id="rId2" Type="http://schemas.openxmlformats.org/officeDocument/2006/relationships/hyperlink" Target="#MENU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5" Type="http://schemas.openxmlformats.org/officeDocument/2006/relationships/chart" Target="../charts/chart2.xml"/><Relationship Id="rId10" Type="http://schemas.openxmlformats.org/officeDocument/2006/relationships/image" Target="../media/image7.svg"/><Relationship Id="rId19" Type="http://schemas.openxmlformats.org/officeDocument/2006/relationships/chart" Target="../charts/chart6.xml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0D99618-9819-0171-1AAE-33307A85F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0</xdr:row>
      <xdr:rowOff>123825</xdr:rowOff>
    </xdr:from>
    <xdr:to>
      <xdr:col>8</xdr:col>
      <xdr:colOff>371475</xdr:colOff>
      <xdr:row>5</xdr:row>
      <xdr:rowOff>114300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E82D216D-BFC7-9D93-9D41-4C9610F1099B}"/>
            </a:ext>
          </a:extLst>
        </xdr:cNvPr>
        <xdr:cNvSpPr/>
      </xdr:nvSpPr>
      <xdr:spPr>
        <a:xfrm>
          <a:off x="538162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BAC4F61-5959-030E-266F-9BBC7A02514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7</xdr:col>
      <xdr:colOff>107161</xdr:colOff>
      <xdr:row>0</xdr:row>
      <xdr:rowOff>71442</xdr:rowOff>
    </xdr:from>
    <xdr:to>
      <xdr:col>14</xdr:col>
      <xdr:colOff>40699</xdr:colOff>
      <xdr:row>5</xdr:row>
      <xdr:rowOff>107250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F4F5DE4-829C-4941-AEE8-9D0959539398}"/>
            </a:ext>
          </a:extLst>
        </xdr:cNvPr>
        <xdr:cNvGrpSpPr/>
      </xdr:nvGrpSpPr>
      <xdr:grpSpPr>
        <a:xfrm>
          <a:off x="5441161" y="71442"/>
          <a:ext cx="5267538" cy="976402"/>
          <a:chOff x="5421967" y="83343"/>
          <a:chExt cx="5267538" cy="9764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8078F3EC-8E33-C41B-5B68-C70DEA51BD9A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6" name="Gráfico 15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51A4EE7-57A2-A1DA-A50D-7FEBE83928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8" name="CaixaDeTexto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5572B65B-84EB-9799-7A74-FE53954FFDFD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749EB2FC-F333-C0C0-FC6B-BC62BFC5D70F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4" name="Gráfico 13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EA57FE44-E330-F5CE-36B4-33841F05E9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4344125-B8BC-DEA5-96D0-2B12CB5E5D8F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4B6D679A-8EEA-53FE-312A-E0686B4CC327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1" name="Gráfico 10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A1713F42-4DEF-662A-D753-58CB43B5DA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2" name="CaixaDeText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F733BBC0-5CB8-366A-6106-2BE384086D3A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DC0377D5-9E32-DB9B-F168-91816A9369D4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9" name="Gráfico 8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5FBA70E4-CD1E-A6A5-D611-6A54B3352F2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0" name="CaixaDeTexto 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12599631-A062-3B02-11A7-CDD7159D5DCD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700091</xdr:colOff>
      <xdr:row>1</xdr:row>
      <xdr:rowOff>28573</xdr:rowOff>
    </xdr:from>
    <xdr:to>
      <xdr:col>24</xdr:col>
      <xdr:colOff>748837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8CA2B4E-BBD2-48F6-BE66-50A6E29E1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9529" y="219073"/>
          <a:ext cx="2334746" cy="653521"/>
        </a:xfrm>
        <a:prstGeom prst="rect">
          <a:avLst/>
        </a:prstGeom>
      </xdr:spPr>
    </xdr:pic>
    <xdr:clientData/>
  </xdr:twoCellAnchor>
  <xdr:twoCellAnchor>
    <xdr:from>
      <xdr:col>7</xdr:col>
      <xdr:colOff>87967</xdr:colOff>
      <xdr:row>0</xdr:row>
      <xdr:rowOff>83343</xdr:rowOff>
    </xdr:from>
    <xdr:to>
      <xdr:col>10</xdr:col>
      <xdr:colOff>2247974</xdr:colOff>
      <xdr:row>5</xdr:row>
      <xdr:rowOff>119151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35EBC07-1D05-5F9E-E89A-2CFBEC4BFF22}"/>
            </a:ext>
          </a:extLst>
        </xdr:cNvPr>
        <xdr:cNvGrpSpPr/>
      </xdr:nvGrpSpPr>
      <xdr:grpSpPr>
        <a:xfrm>
          <a:off x="5421967" y="83343"/>
          <a:ext cx="5267538" cy="976402"/>
          <a:chOff x="5421967" y="83343"/>
          <a:chExt cx="5267538" cy="9764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98439EA7-749D-78CC-539B-0EC0C576C8B5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4" name="Gráfico 13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4FC5EC00-CFBE-C5A3-07D6-1B68CB96C2D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58BFFCB-47E0-CC59-B9FF-30155E47FC66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22F8D0B7-492C-716F-A144-4BE3244B96FC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2" name="Gráfico 11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6822590-0FE4-F537-230D-22BCC5F099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7D3DB09-1ECE-B276-447F-E3DFE7251C97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D18FC027-D426-EE40-C66E-952CECFFF6A8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0" name="Gráfico 9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B7A77489-0C8A-2B17-4528-44D71294B2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5C89095E-49C1-F8BE-2A29-0B873740D99E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AD5F10B8-D680-E5DA-8ADF-3C469936AF15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8" name="Gráfico 7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87991615-DCA8-06E7-1862-A02F7B13BD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9" name="CaixaDeTexto 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AD325DE3-B066-B9E9-A648-E881EE978ABF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xdr:twoCellAnchor editAs="absolute">
    <xdr:from>
      <xdr:col>8</xdr:col>
      <xdr:colOff>703169</xdr:colOff>
      <xdr:row>0</xdr:row>
      <xdr:rowOff>123825</xdr:rowOff>
    </xdr:from>
    <xdr:to>
      <xdr:col>9</xdr:col>
      <xdr:colOff>1018054</xdr:colOff>
      <xdr:row>5</xdr:row>
      <xdr:rowOff>115981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B90441AD-0320-47D0-BEB7-5338E53A5536}"/>
            </a:ext>
          </a:extLst>
        </xdr:cNvPr>
        <xdr:cNvSpPr/>
      </xdr:nvSpPr>
      <xdr:spPr>
        <a:xfrm>
          <a:off x="68484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173544</xdr:colOff>
      <xdr:row>5</xdr:row>
      <xdr:rowOff>34863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1D15D7C-CAA2-4F82-B6F4-8FC1ADEF6DB8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 editAs="oneCell">
    <xdr:from>
      <xdr:col>0</xdr:col>
      <xdr:colOff>100850</xdr:colOff>
      <xdr:row>7</xdr:row>
      <xdr:rowOff>4625</xdr:rowOff>
    </xdr:from>
    <xdr:to>
      <xdr:col>4</xdr:col>
      <xdr:colOff>627529</xdr:colOff>
      <xdr:row>10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Qual a sua Região?">
              <a:extLst>
                <a:ext uri="{FF2B5EF4-FFF2-40B4-BE49-F238E27FC236}">
                  <a16:creationId xmlns:a16="http://schemas.microsoft.com/office/drawing/2014/main" id="{657B7D47-4735-3584-DF06-2A838E408A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a sua Regiã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50" y="1302406"/>
              <a:ext cx="3574679" cy="6656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102817</xdr:colOff>
      <xdr:row>16</xdr:row>
      <xdr:rowOff>111779</xdr:rowOff>
    </xdr:from>
    <xdr:to>
      <xdr:col>1</xdr:col>
      <xdr:colOff>642936</xdr:colOff>
      <xdr:row>21</xdr:row>
      <xdr:rowOff>154780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Qual seu gênero?">
              <a:extLst>
                <a:ext uri="{FF2B5EF4-FFF2-40B4-BE49-F238E27FC236}">
                  <a16:creationId xmlns:a16="http://schemas.microsoft.com/office/drawing/2014/main" id="{BA05CF70-67A1-5552-F7DE-7CCF7F943E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eu gêner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17" y="3016904"/>
              <a:ext cx="1302119" cy="935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170192</xdr:colOff>
      <xdr:row>12</xdr:row>
      <xdr:rowOff>20031</xdr:rowOff>
    </xdr:from>
    <xdr:to>
      <xdr:col>24</xdr:col>
      <xdr:colOff>184199</xdr:colOff>
      <xdr:row>52</xdr:row>
      <xdr:rowOff>59531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4EBC7A77-D672-AC98-62AE-28A047031623}"/>
            </a:ext>
          </a:extLst>
        </xdr:cNvPr>
        <xdr:cNvGrpSpPr/>
      </xdr:nvGrpSpPr>
      <xdr:grpSpPr>
        <a:xfrm>
          <a:off x="3218192" y="2210781"/>
          <a:ext cx="17611445" cy="7183250"/>
          <a:chOff x="2956254" y="2246500"/>
          <a:chExt cx="17611445" cy="7183250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6514D80F-F30D-4FE3-A0F3-FF56D39EE249}"/>
              </a:ext>
            </a:extLst>
          </xdr:cNvPr>
          <xdr:cNvGrpSpPr/>
        </xdr:nvGrpSpPr>
        <xdr:grpSpPr>
          <a:xfrm>
            <a:off x="3043901" y="8539084"/>
            <a:ext cx="4222255" cy="681533"/>
            <a:chOff x="513313" y="1589253"/>
            <a:chExt cx="4242551" cy="68433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C24E08F3-1E59-DB0C-3C87-20673BF49B88}"/>
                </a:ext>
              </a:extLst>
            </xdr:cNvPr>
            <xdr:cNvSpPr/>
          </xdr:nvSpPr>
          <xdr:spPr>
            <a:xfrm>
              <a:off x="3134298" y="1589253"/>
              <a:ext cx="1621566" cy="684335"/>
            </a:xfrm>
            <a:prstGeom prst="roundRect">
              <a:avLst/>
            </a:prstGeom>
            <a:solidFill>
              <a:srgbClr val="0E1A4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600">
                <a:solidFill>
                  <a:schemeClr val="accent4">
                    <a:lumMod val="40000"/>
                    <a:lumOff val="60000"/>
                  </a:schemeClr>
                </a:solidFill>
                <a:latin typeface="Arial Rounded MT Bold" panose="020F0704030504030204" pitchFamily="34" charset="0"/>
              </a:endParaRP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D84E6067-B721-F182-C7CB-0DA126DD7113}"/>
                </a:ext>
              </a:extLst>
            </xdr:cNvPr>
            <xdr:cNvSpPr txBox="1"/>
          </xdr:nvSpPr>
          <xdr:spPr>
            <a:xfrm>
              <a:off x="513313" y="1718041"/>
              <a:ext cx="2525358" cy="389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2000">
                  <a:solidFill>
                    <a:srgbClr val="0E1A40"/>
                  </a:solidFill>
                  <a:latin typeface="Arial Rounded MT Bold" panose="020F0704030504030204" pitchFamily="34" charset="0"/>
                </a:rPr>
                <a:t>Total de Pesquisas</a:t>
              </a:r>
            </a:p>
          </xdr:txBody>
        </xdr:sp>
      </xdr:grpSp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B9478CE7-3357-7B62-94CF-D05EF9F6144E}"/>
              </a:ext>
            </a:extLst>
          </xdr:cNvPr>
          <xdr:cNvGraphicFramePr/>
        </xdr:nvGraphicFramePr>
        <xdr:xfrm>
          <a:off x="2959054" y="2246500"/>
          <a:ext cx="5827059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97F5CEBB-D580-4B92-869F-351C865A2C91}"/>
              </a:ext>
            </a:extLst>
          </xdr:cNvPr>
          <xdr:cNvGraphicFramePr>
            <a:graphicFrameLocks/>
          </xdr:cNvGraphicFramePr>
        </xdr:nvGraphicFramePr>
        <xdr:xfrm>
          <a:off x="8872959" y="2250983"/>
          <a:ext cx="5909703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81DD8AC1-4CDD-4005-8F9D-E96DF8CB5818}"/>
              </a:ext>
            </a:extLst>
          </xdr:cNvPr>
          <xdr:cNvGraphicFramePr>
            <a:graphicFrameLocks/>
          </xdr:cNvGraphicFramePr>
        </xdr:nvGraphicFramePr>
        <xdr:xfrm>
          <a:off x="14897523" y="2250982"/>
          <a:ext cx="5670176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E7358918-26E3-4C2A-ACFB-BB3D4549994C}"/>
              </a:ext>
            </a:extLst>
          </xdr:cNvPr>
          <xdr:cNvGraphicFramePr>
            <a:graphicFrameLocks/>
          </xdr:cNvGraphicFramePr>
        </xdr:nvGraphicFramePr>
        <xdr:xfrm>
          <a:off x="2956254" y="5227540"/>
          <a:ext cx="5827059" cy="25646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6E81D4F1-C24C-456C-A29C-F6F6D13B3CEE}"/>
              </a:ext>
            </a:extLst>
          </xdr:cNvPr>
          <xdr:cNvGraphicFramePr>
            <a:graphicFrameLocks/>
          </xdr:cNvGraphicFramePr>
        </xdr:nvGraphicFramePr>
        <xdr:xfrm>
          <a:off x="8882485" y="5224738"/>
          <a:ext cx="5909703" cy="2574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AB04D5ED-2C7E-4229-BC99-FCA6B987E510}"/>
              </a:ext>
            </a:extLst>
          </xdr:cNvPr>
          <xdr:cNvGraphicFramePr>
            <a:graphicFrameLocks/>
          </xdr:cNvGraphicFramePr>
        </xdr:nvGraphicFramePr>
        <xdr:xfrm>
          <a:off x="4388930" y="8477250"/>
          <a:ext cx="410023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 editAs="oneCell">
    <xdr:from>
      <xdr:col>0</xdr:col>
      <xdr:colOff>106877</xdr:colOff>
      <xdr:row>21</xdr:row>
      <xdr:rowOff>148895</xdr:rowOff>
    </xdr:from>
    <xdr:to>
      <xdr:col>2</xdr:col>
      <xdr:colOff>750094</xdr:colOff>
      <xdr:row>31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l sua faixa de renda?">
              <a:extLst>
                <a:ext uri="{FF2B5EF4-FFF2-40B4-BE49-F238E27FC236}">
                  <a16:creationId xmlns:a16="http://schemas.microsoft.com/office/drawing/2014/main" id="{5336CE9C-27DF-75F4-0EC3-E47ACEFE40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faixa de rend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77" y="3946989"/>
              <a:ext cx="2167217" cy="1732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99174</xdr:colOff>
      <xdr:row>10</xdr:row>
      <xdr:rowOff>131388</xdr:rowOff>
    </xdr:from>
    <xdr:to>
      <xdr:col>4</xdr:col>
      <xdr:colOff>224118</xdr:colOff>
      <xdr:row>16</xdr:row>
      <xdr:rowOff>109959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Qual sua idade">
              <a:extLst>
                <a:ext uri="{FF2B5EF4-FFF2-40B4-BE49-F238E27FC236}">
                  <a16:creationId xmlns:a16="http://schemas.microsoft.com/office/drawing/2014/main" id="{CF34FF54-154E-810B-A46C-148A72EE55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174" y="1964951"/>
              <a:ext cx="3172944" cy="1050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640556</xdr:colOff>
      <xdr:row>16</xdr:row>
      <xdr:rowOff>116682</xdr:rowOff>
    </xdr:from>
    <xdr:to>
      <xdr:col>4</xdr:col>
      <xdr:colOff>183356</xdr:colOff>
      <xdr:row>21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Qual modal você utiliza?">
              <a:extLst>
                <a:ext uri="{FF2B5EF4-FFF2-40B4-BE49-F238E27FC236}">
                  <a16:creationId xmlns:a16="http://schemas.microsoft.com/office/drawing/2014/main" id="{E4EF38E3-511E-2EAC-E03B-AA21567054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modal você utiliz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556" y="3021807"/>
              <a:ext cx="1828800" cy="9310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200025</xdr:colOff>
      <xdr:row>1</xdr:row>
      <xdr:rowOff>28573</xdr:rowOff>
    </xdr:from>
    <xdr:to>
      <xdr:col>27</xdr:col>
      <xdr:colOff>279954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FB9F6BF-F93C-4ED7-941F-D16F9BCAA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4</xdr:col>
      <xdr:colOff>250456</xdr:colOff>
      <xdr:row>0</xdr:row>
      <xdr:rowOff>123825</xdr:rowOff>
    </xdr:from>
    <xdr:to>
      <xdr:col>4</xdr:col>
      <xdr:colOff>1329818</xdr:colOff>
      <xdr:row>5</xdr:row>
      <xdr:rowOff>104775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63FE604-178E-4FCC-8412-C9A563708282}"/>
            </a:ext>
          </a:extLst>
        </xdr:cNvPr>
        <xdr:cNvSpPr/>
      </xdr:nvSpPr>
      <xdr:spPr>
        <a:xfrm>
          <a:off x="8210550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1</xdr:col>
      <xdr:colOff>316219</xdr:colOff>
      <xdr:row>5</xdr:row>
      <xdr:rowOff>23657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3D5E0E9-7B66-44A7-A5C2-6CDD1FC1468B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2</xdr:col>
      <xdr:colOff>892969</xdr:colOff>
      <xdr:row>0</xdr:row>
      <xdr:rowOff>95250</xdr:rowOff>
    </xdr:from>
    <xdr:to>
      <xdr:col>5</xdr:col>
      <xdr:colOff>1231319</xdr:colOff>
      <xdr:row>5</xdr:row>
      <xdr:rowOff>119152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C5EF69A-9D8A-4CFA-889F-FEB5AA0E6B4B}"/>
            </a:ext>
          </a:extLst>
        </xdr:cNvPr>
        <xdr:cNvGrpSpPr/>
      </xdr:nvGrpSpPr>
      <xdr:grpSpPr>
        <a:xfrm>
          <a:off x="5464969" y="95250"/>
          <a:ext cx="5267538" cy="976402"/>
          <a:chOff x="5421967" y="83343"/>
          <a:chExt cx="5267538" cy="976402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EE3FB00F-3629-AD80-E757-977FD8FF711C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29" name="Gráfico 28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4A54192E-8B10-D371-F1B1-7631987393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30" name="CaixaDeTexto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EFC0BB8F-3EC8-09AF-4DB0-2452F7193AF3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E70FEE16-17B3-4D6F-EFA6-794FBBFA51E3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27" name="Gráfico 26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AD558A1-7F5A-F2D4-FA33-8CED6CD3F4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8" name="CaixaDeTexto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B2329F5-20F0-C8DC-D8D4-69BDAD0BDE6C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500E01ED-3213-9378-0B9E-BCDD8D8EE69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25" name="Gráfico 24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B165153-373F-1FB2-24B3-88387ABBEC2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A6303A02-D324-649E-4043-FBDF460E37A2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3CE708E7-BA6C-F4DF-5972-1DA41567D232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23" name="Gráfico 22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E13E3ECD-AD9C-9680-8853-A35799421A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4" name="CaixaDeTexto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C6A9ACC-B2D4-0F4E-71CB-401ACD68B45A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9DFAE09-C47F-4055-A7B8-2955B26A2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12</xdr:col>
      <xdr:colOff>523875</xdr:colOff>
      <xdr:row>0</xdr:row>
      <xdr:rowOff>123825</xdr:rowOff>
    </xdr:from>
    <xdr:to>
      <xdr:col>14</xdr:col>
      <xdr:colOff>85725</xdr:colOff>
      <xdr:row>5</xdr:row>
      <xdr:rowOff>114300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7A75881-9D5B-454B-9433-4B20EA5FB2C7}"/>
            </a:ext>
          </a:extLst>
        </xdr:cNvPr>
        <xdr:cNvSpPr/>
      </xdr:nvSpPr>
      <xdr:spPr>
        <a:xfrm>
          <a:off x="96678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7E4894D-DF57-4BEA-83B9-431EA443B95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7</xdr:col>
      <xdr:colOff>119063</xdr:colOff>
      <xdr:row>0</xdr:row>
      <xdr:rowOff>107156</xdr:rowOff>
    </xdr:from>
    <xdr:to>
      <xdr:col>14</xdr:col>
      <xdr:colOff>52601</xdr:colOff>
      <xdr:row>5</xdr:row>
      <xdr:rowOff>142964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D8941BB-4365-44F3-A751-113EF2772F3D}"/>
            </a:ext>
          </a:extLst>
        </xdr:cNvPr>
        <xdr:cNvGrpSpPr/>
      </xdr:nvGrpSpPr>
      <xdr:grpSpPr>
        <a:xfrm>
          <a:off x="5453063" y="107156"/>
          <a:ext cx="5267538" cy="976402"/>
          <a:chOff x="5421967" y="83343"/>
          <a:chExt cx="5267538" cy="976402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A8AD336D-912A-FD3B-7BE2-3ABB1F8381C7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29" name="Gráfico 28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B5662312-6423-687C-3D55-8565ED772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30" name="CaixaDeTexto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7A49427F-3ACF-FF8C-B94C-6D71B98CFC55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A81885-0F2A-159D-B428-E929A0215D03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27" name="Gráfico 26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699600F2-C7E2-F2F1-2D79-1257D6FD97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8" name="CaixaDeTexto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6DFF40ED-0D15-87E6-39A9-39D93AAB1AB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8DEFA47D-C95B-92DE-A82F-12F5E5F36189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25" name="Gráfico 24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E4432B8-AE4E-2F97-9201-73B0DE440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2A4E8806-5C8B-D009-B167-B3EEC33F80E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514D194F-2E86-6BC9-5BE6-5D2042C3ABD3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23" name="Gráfico 22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04CB3D6-147F-166F-50E2-F7C7D53502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4" name="CaixaDeTexto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DBE97035-E5CB-CDCE-6A4F-6D365F27737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4576504628" backgroundQuery="1" createdVersion="3" refreshedVersion="8" minRefreshableVersion="3" recordCount="0" supportSubquery="1" supportAdvancedDrill="1" xr:uid="{3BFB4DF6-A76D-42C0-A57A-D50135E4349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3029939"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5555555" backgroundQuery="1" createdVersion="8" refreshedVersion="8" minRefreshableVersion="3" recordCount="0" supportSubquery="1" supportAdvancedDrill="1" xr:uid="{E191E600-31A3-46D8-94F5-28E53060BA72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78111713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6944448" backgroundQuery="1" createdVersion="8" refreshedVersion="8" minRefreshableVersion="3" recordCount="0" supportSubquery="1" supportAdvancedDrill="1" xr:uid="{C637FE84-FA71-422D-8608-DB1E232C484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Qual modal você utiliza?].[Qual modal você utiliza?]" caption="Qual modal você utiliza?" numFmtId="0" hierarchy="8" level="1">
      <sharedItems count="2">
        <s v="Carro"/>
        <s v="Transporte por Aplicativo"/>
      </sharedItems>
    </cacheField>
    <cacheField name="[Measures].[Contagem de Qual modal você utiliza?]" caption="Contagem de Qual modal você utiliza?" numFmtId="0" hierarchy="24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1412924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7291663" backgroundQuery="1" createdVersion="8" refreshedVersion="8" minRefreshableVersion="3" recordCount="0" supportSubquery="1" supportAdvancedDrill="1" xr:uid="{745F18F7-3FF2-40DE-8AA9-D13FFCA95C8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To Have Suporte].[To Have Suporte]" caption="To Have Suporte" numFmtId="0" hierarchy="17" level="1">
      <sharedItems count="6">
        <s v="Abrangência"/>
        <s v="Descontos"/>
        <s v="Estabilidade"/>
        <s v="Facilidade de Uso"/>
        <s v="Indeterminado"/>
        <s v="Vantagens &amp; Benefícios"/>
      </sharedItems>
    </cacheField>
    <cacheField name="[Measures].[Contagem de To Have Suporte2]" caption="Contagem de To Have Suporte2" numFmtId="0" hierarchy="27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87484361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7870371" backgroundQuery="1" createdVersion="8" refreshedVersion="8" minRefreshableVersion="3" recordCount="0" supportSubquery="1" supportAdvancedDrill="1" xr:uid="{83DDE4DD-262B-4C53-8AC1-DCDE4F2C73C4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Contagem].[Contagem]" caption="Contagem" numFmtId="0" hierarchy="1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ATA_TB].[Contagem].&amp;[1]"/>
          </x15:cachedUniqueNames>
        </ext>
      </extLst>
    </cacheField>
    <cacheField name="[Measures].[Soma de Contagem]" caption="Soma de Contagem" numFmtId="0" hierarchy="28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2" memberValueDatatype="20" unbalanced="0">
      <fieldsUsage count="2">
        <fieldUsage x="-1"/>
        <fieldUsage x="0"/>
      </fieldsUsage>
    </cacheHierarchy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04276482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6250001" backgroundQuery="1" createdVersion="8" refreshedVersion="8" minRefreshableVersion="3" recordCount="0" supportSubquery="1" supportAdvancedDrill="1" xr:uid="{29F16536-0BB4-4B6E-A2D6-23FF2EB6648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eu gênero?].[Qual seu gênero?]" caption="Qual seu gênero?" numFmtId="0" hierarchy="3" level="1">
      <sharedItems count="2">
        <s v="Feminino"/>
        <s v="Masculino"/>
      </sharedItems>
    </cacheField>
    <cacheField name="[DATA_TB].[Qual sua faixa de renda?].[Qual sua faixa de renda?]" caption="Qual sua faixa de renda?" numFmtId="0" hierarchy="6" level="1">
      <sharedItems count="5">
        <s v="Acima de R$ 8.001,00"/>
        <s v="Até R$ 2.000,00"/>
        <s v="R$ 2.001,00 - R$ 4.000,00"/>
        <s v="R$ 4.001,00 - R$ 6.000,00"/>
        <s v="R$ 6.001,00 - R$ 8.000,00"/>
      </sharedItems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4999029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7508449072" backgroundQuery="1" createdVersion="8" refreshedVersion="8" minRefreshableVersion="3" recordCount="0" supportSubquery="1" supportAdvancedDrill="1" xr:uid="{79CE3D7B-7CA9-4A52-BBFB-51829D302C6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DATA_TB].[Qual sua faixa de renda?].[Qual sua faixa de renda?]" caption="Qual sua faixa de renda?" numFmtId="0" hierarchy="6" level="1">
      <sharedItems count="5">
        <s v="Acima de R$ 8.001,00"/>
        <s v="Até R$ 2.000,00"/>
        <s v="R$ 2.001,00 - R$ 4.000,00"/>
        <s v="R$ 4.001,00 - R$ 6.000,00"/>
        <s v="R$ 6.001,00 - R$ 8.000,00"/>
      </sharedItems>
    </cacheField>
    <cacheField name="[Measures].[Contagem de Qual sua faixa de renda?]" caption="Contagem de Qual sua faixa de renda?" numFmtId="0" hierarchy="22" level="32767"/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80988844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9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3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Contagem" fld="1" baseField="0" baseItem="0"/>
  </dataFields>
  <chartFormats count="2">
    <chartFormat chart="8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2042764821">
        <x15:pivotRow count="1">
          <x15:c>
            <x15:v>43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8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To Have Suporte2" fld="1" subtotal="count" baseField="0" baseItem="3"/>
  </dataFields>
  <chartFormats count="6"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ntagem de To Have Suporte2"/>
    <pivotHierarchy dragToData="1"/>
  </pivotHierarchie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874843616">
        <x15:pivotRow count="1">
          <x15:c>
            <x15:v>1</x15:v>
          </x15:c>
        </x15:pivotRow>
        <x15:pivotRow count="1">
          <x15:c>
            <x15:v>14</x15:v>
          </x15:c>
        </x15:pivotRow>
        <x15:pivotRow count="1">
          <x15:c>
            <x15:v>1</x15:v>
          </x15:c>
        </x15:pivotRow>
        <x15:pivotRow count="1">
          <x15:c>
            <x15:v>11</x15:v>
          </x15:c>
        </x15:pivotRow>
        <x15:pivotRow count="1">
          <x15:c>
            <x15:v>6</x15:v>
          </x15:c>
        </x15:pivotRow>
        <x15:pivotRow count="1">
          <x15:c>
            <x15:v>10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7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D3" firstHeaderRow="1" firstDataRow="2" firstDataCol="1"/>
  <pivotFields count="3"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0"/>
  </colFields>
  <colItems count="3">
    <i>
      <x/>
    </i>
    <i>
      <x v="1"/>
    </i>
    <i t="grand">
      <x/>
    </i>
  </colItems>
  <dataFields count="1">
    <dataField name="Contagem de Qual modal você utiliza?" fld="1" subtotal="count" baseField="0" baseItem="0"/>
  </dataFields>
  <chartFormats count="3">
    <chartFormat chart="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" columnCount="3" cacheId="1141292419">
        <x15:pivotRow count="3">
          <x15:c>
            <x15:v>42</x15:v>
          </x15:c>
          <x15:c>
            <x15:v>1</x15:v>
          </x15:c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6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D8" firstHeaderRow="1" firstDataRow="2" firstDataCol="1"/>
  <pivotFields count="4">
    <pivotField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sortType="ascending" defaultSubtotal="0" defaultAttributeDrillState="1">
      <items count="2">
        <item x="0"/>
        <item x="1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0"/>
            </reference>
          </references>
        </pivotArea>
      </autoSortScope>
    </pivotField>
    <pivotField axis="axisRow" allDrilled="1" subtotalTop="0" showAll="0" defaultSubtotal="0" defaultAttributeDrillState="1">
      <items count="5">
        <item x="2"/>
        <item x="0"/>
        <item x="1"/>
        <item x="3"/>
        <item x="4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ontagem de Com que frequência você utiliza aplicativos de descontos e vantagens em postos de gasolina?" fld="1" subtotal="count" baseField="0" baseItem="0"/>
  </dataFields>
  <chartFormats count="6">
    <chartFormat chart="4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3" cacheId="49990297">
        <x15:pivotRow count="3">
          <x15:c>
            <x15:v>5</x15:v>
          </x15:c>
          <x15:c>
            <x15:v>7</x15:v>
          </x15:c>
          <x15:c>
            <x15:v>12</x15:v>
          </x15:c>
        </x15:pivotRow>
        <x15:pivotRow count="3">
          <x15:c>
            <x15:v>1</x15:v>
          </x15:c>
          <x15:c>
            <x15:v>11</x15:v>
          </x15:c>
          <x15:c>
            <x15:v>12</x15:v>
          </x15:c>
        </x15:pivotRow>
        <x15:pivotRow count="3">
          <x15:c>
            <x15:v>4</x15:v>
          </x15:c>
          <x15:c>
            <x15:v>2</x15:v>
          </x15:c>
          <x15:c>
            <x15:v>6</x15:v>
          </x15:c>
        </x15:pivotRow>
        <x15:pivotRow count="3">
          <x15:c>
            <x15:v>5</x15:v>
          </x15:c>
          <x15:c>
            <x15:v>6</x15:v>
          </x15:c>
          <x15:c>
            <x15:v>11</x15:v>
          </x15:c>
        </x15:pivotRow>
        <x15:pivotRow count="3">
          <x15:c>
            <x15:v>2</x15:v>
          </x15:c>
          <x15:c t="e">
            <x15:v/>
          </x15:c>
          <x15:c>
            <x15:v>2</x15:v>
          </x15:c>
        </x15:pivotRow>
        <x15:pivotRow count="3">
          <x15:c>
            <x15:v>17</x15:v>
          </x15:c>
          <x15:c>
            <x15:v>26</x15:v>
          </x15:c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1:B6" firstHeaderRow="1" firstDataRow="1" firstDataCol="1"/>
  <pivotFields count="3">
    <pivotField axis="axisRow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 v="1"/>
    </i>
    <i>
      <x/>
    </i>
    <i>
      <x v="3"/>
    </i>
    <i>
      <x v="2"/>
    </i>
    <i t="grand">
      <x/>
    </i>
  </rowItems>
  <colItems count="1">
    <i/>
  </colItems>
  <dataFields count="1">
    <dataField name="Contagem de Com que frequência você utiliza aplicativos de descontos e vantagens em postos de gasolina?" fld="1" subtotal="count" showDataAs="percentOfTotal" baseField="0" baseItem="3" numFmtId="10"/>
  </dataFields>
  <chartFormats count="1"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" columnCount="1" cacheId="1781117138">
        <x15:pivotRow count="1">
          <x15:c>
            <x15:v>0.76744186046511631</x15:v>
          </x15:c>
        </x15:pivotRow>
        <x15:pivotRow count="1">
          <x15:c>
            <x15:v>9.3023255813953487E-2</x15:v>
          </x15:c>
        </x15:pivotRow>
        <x15:pivotRow count="1">
          <x15:c>
            <x15:v>6.9767441860465115E-2</x15:v>
          </x15:c>
        </x15:pivotRow>
        <x15:pivotRow count="1">
          <x15:c>
            <x15:v>6.9767441860465115E-2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4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7" firstHeaderRow="1" firstDataRow="1" firstDataCol="1"/>
  <pivotFields count="2">
    <pivotField axis="axisRow" allDrilled="1" subtotalTop="0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ontagem de Qual sua faixa de renda?" fld="1" subtotal="count" baseField="0" baseItem="0"/>
  </dataFields>
  <chartFormats count="6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809888447">
        <x15:pivotRow count="1">
          <x15:c>
            <x15:v>12</x15:v>
          </x15:c>
        </x15:pivotRow>
        <x15:pivotRow count="1">
          <x15:c>
            <x15:v>12</x15:v>
          </x15:c>
        </x15:pivotRow>
        <x15:pivotRow count="1">
          <x15:c>
            <x15:v>11</x15:v>
          </x15:c>
        </x15:pivotRow>
        <x15:pivotRow count="1">
          <x15:c>
            <x15:v>6</x15:v>
          </x15:c>
        </x15:pivotRow>
        <x15:pivotRow count="1">
          <x15:c>
            <x15:v>2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a_sua_Região?" xr10:uid="{2018B270-C4E4-4B62-9A70-1BCEE2EFA11F}" sourceName="[DATA_TB].[Qual a sua Região?]">
  <data>
    <olap pivotCacheId="63029939">
      <levels count="2">
        <level uniqueName="[DATA_TB].[Qual a sua Região?].[(All)]" sourceCaption="(All)" count="0"/>
        <level uniqueName="[DATA_TB].[Qual a sua Região?].[Qual a sua Região?]" sourceCaption="Qual a sua Região?" count="3">
          <ranges>
            <range startItem="0">
              <i n="[DATA_TB].[Qual a sua Região?].&amp;[Centro-Oeste]" c="Centro-Oeste"/>
              <i n="[DATA_TB].[Qual a sua Região?].&amp;[Sudeste]" c="Sudeste"/>
              <i n="[DATA_TB].[Qual a sua Região?].&amp;[Sul]" c="Sul"/>
            </range>
          </ranges>
        </level>
      </levels>
      <selections count="1">
        <selection n="[DATA_TB].[Qual a sua Regiã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eu_gênero?" xr10:uid="{E0B80DAC-494F-4E75-94E5-067797F9EA05}" sourceName="[DATA_TB].[Qual seu gênero?]">
  <data>
    <olap pivotCacheId="63029939">
      <levels count="2">
        <level uniqueName="[DATA_TB].[Qual seu gênero?].[(All)]" sourceCaption="(All)" count="0"/>
        <level uniqueName="[DATA_TB].[Qual seu gênero?].[Qual seu gênero?]" sourceCaption="Qual seu gênero?" count="2">
          <ranges>
            <range startItem="0">
              <i n="[DATA_TB].[Qual seu gênero?].&amp;[Feminino]" c="Feminino"/>
              <i n="[DATA_TB].[Qual seu gênero?].&amp;[Masculino]" c="Masculino"/>
            </range>
          </ranges>
        </level>
      </levels>
      <selections count="1">
        <selection n="[DATA_TB].[Qual seu gêner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faixa_de_renda?" xr10:uid="{CAE97E44-FBC1-4C7C-A730-75C50CC1D4F3}" sourceName="[DATA_TB].[Qual sua faixa de renda?]">
  <data>
    <olap pivotCacheId="63029939">
      <levels count="2">
        <level uniqueName="[DATA_TB].[Qual sua faixa de renda?].[(All)]" sourceCaption="(All)" count="0"/>
        <level uniqueName="[DATA_TB].[Qual sua faixa de renda?].[Qual sua faixa de renda?]" sourceCaption="Qual sua faixa de renda?" count="5">
          <ranges>
            <range startItem="0">
              <i n="[DATA_TB].[Qual sua faixa de renda?].&amp;[Acima de R$ 8.001,00]" c="Acima de R$ 8.001,00"/>
              <i n="[DATA_TB].[Qual sua faixa de renda?].&amp;[Até R$ 2.000,00]" c="Até R$ 2.000,00"/>
              <i n="[DATA_TB].[Qual sua faixa de renda?].&amp;[R$ 2.001,00 - R$ 4.000,00]" c="R$ 2.001,00 - R$ 4.000,00"/>
              <i n="[DATA_TB].[Qual sua faixa de renda?].&amp;[R$ 4.001,00 - R$ 6.000,00]" c="R$ 4.001,00 - R$ 6.000,00"/>
              <i n="[DATA_TB].[Qual sua faixa de renda?].&amp;[R$ 6.001,00 - R$ 8.000,00]" c="R$ 6.001,00 - R$ 8.000,00"/>
            </range>
          </ranges>
        </level>
      </levels>
      <selections count="1">
        <selection n="[DATA_TB].[Qual sua faixa de renda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idade" xr10:uid="{F07285B6-D5C9-4CB1-8604-CCA64355407C}" sourceName="[DATA_TB].[Qual sua idade]">
  <data>
    <olap pivotCacheId="63029939">
      <levels count="2">
        <level uniqueName="[DATA_TB].[Qual sua idade].[(All)]" sourceCaption="(All)" count="0"/>
        <level uniqueName="[DATA_TB].[Qual sua idade].[Qual sua idade]" sourceCaption="Qual sua idade" count="4">
          <ranges>
            <range startItem="0">
              <i n="[DATA_TB].[Qual sua idade].&amp;[Entre 18 e 21 anos]" c="Entre 18 e 21 anos"/>
              <i n="[DATA_TB].[Qual sua idade].&amp;[Entre 22 e 30 anos]" c="Entre 22 e 30 anos"/>
              <i n="[DATA_TB].[Qual sua idade].&amp;[Entre 31 e 59 anos]" c="Entre 31 e 59 anos"/>
              <i n="[DATA_TB].[Qual sua idade].&amp;[Maior que 60 anos]" c="Maior que 60 anos"/>
            </range>
          </ranges>
        </level>
      </levels>
      <selections count="1">
        <selection n="[DATA_TB].[Qual sua 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modal_você_utiliza?" xr10:uid="{169E617D-5855-4566-873A-A39C0169DC1A}" sourceName="[DATA_TB].[Qual modal você utiliza?]">
  <data>
    <olap pivotCacheId="63029939">
      <levels count="2">
        <level uniqueName="[DATA_TB].[Qual modal você utiliza?].[(All)]" sourceCaption="(All)" count="0"/>
        <level uniqueName="[DATA_TB].[Qual modal você utiliza?].[Qual modal você utiliza?]" sourceCaption="Qual modal você utiliza?" count="2">
          <ranges>
            <range startItem="0">
              <i n="[DATA_TB].[Qual modal você utiliza?].&amp;[Carro]" c="Carro"/>
              <i n="[DATA_TB].[Qual modal você utiliza?].&amp;[Transporte por Aplicativo]" c="Transporte por Aplicativo"/>
            </range>
          </ranges>
        </level>
      </levels>
      <selections count="1">
        <selection n="[DATA_TB].[Qual modal você utiliza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Qual a sua Região?" xr10:uid="{CD70F249-5C64-4E02-AFBE-8D9617F5B45B}" cache="SegmentaçãodeDados_Qual_a_sua_Região?" caption="Região" columnCount="3" level="1" style="SlicerStyleDark1 2" rowHeight="241300"/>
  <slicer name="Qual seu gênero?" xr10:uid="{3D45BB5F-196C-41F9-B501-798A60EC6CF4}" cache="SegmentaçãodeDados_Qual_seu_gênero?" caption="Gênero" level="1" style="SlicerStyleDark1 2" rowHeight="241300"/>
  <slicer name="Qual sua faixa de renda?" xr10:uid="{3E15B60E-4C51-450F-8E23-C01A9D955A1D}" cache="SegmentaçãodeDados_Qual_sua_faixa_de_renda?" caption="Renda" level="1" style="SlicerStyleDark1 2" rowHeight="241300"/>
  <slicer name="Qual sua idade" xr10:uid="{E1F8E278-7C1C-4CF4-B4BA-AF1FBFFCBADA}" cache="SegmentaçãodeDados_Qual_sua_idade" caption="Qual sua idade" columnCount="2" level="1" style="SlicerStyleDark1 2" rowHeight="241300"/>
  <slicer name="Qual modal você utiliza?" xr10:uid="{DEDE4002-96D9-4361-B3D1-BB4EEC6C9F4B}" cache="SegmentaçãodeDados_Qual_modal_você_utiliza?" caption="Modal" level="1" style="SlicerStyleDark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951F44-F89A-4CC8-BE6A-6A821345897F}" name="DATA_TB" displayName="DATA_TB" ref="A10:T53" totalsRowShown="0" headerRowDxfId="21" dataDxfId="20">
  <autoFilter ref="A10:T53" xr:uid="{30951F44-F89A-4CC8-BE6A-6A821345897F}"/>
  <tableColumns count="20">
    <tableColumn id="1" xr3:uid="{EF78C9E2-764C-48EB-BE81-3D3A0952D1C7}" name="Carimbo de data/hora" dataDxfId="19"/>
    <tableColumn id="2" xr3:uid="{9477B6D8-FEDA-4768-BE94-E747E6D66C62}" name="Endereço de e-mail" dataDxfId="18"/>
    <tableColumn id="3" xr3:uid="{2997DFB4-5FFE-44A7-B473-259E6A501870}" name="Qual sua idade" dataDxfId="17"/>
    <tableColumn id="4" xr3:uid="{38F7F3A3-C275-4AFD-A438-F7AE44E72CB6}" name="Qual seu gênero?" dataDxfId="16"/>
    <tableColumn id="16" xr3:uid="{D2DE3153-DA6E-4A26-892A-B79C3CBA9314}" name="Estado (Placeholder)" dataDxfId="15"/>
    <tableColumn id="5" xr3:uid="{C0485CE1-1BA3-4A83-9C67-D7C33F4128FE}" name="Qual a sua Região?" dataDxfId="14"/>
    <tableColumn id="6" xr3:uid="{82ECD370-56B4-4A85-B366-4B085C945C1C}" name="Qual sua faixa de renda?" dataDxfId="13"/>
    <tableColumn id="7" xr3:uid="{251AAD24-6603-4342-B917-4E1FC9A78D47}" name="Com que frequência você utiliza aplicativos de descontos e vantagens em postos de gasolina?" dataDxfId="12"/>
    <tableColumn id="8" xr3:uid="{5F8D9F93-63DB-4466-8CE0-628274D29471}" name="Qual modal você utiliza?" dataDxfId="11"/>
    <tableColumn id="9" xr3:uid="{08A871B1-A8F1-4A09-A47A-A8F715E4DCF7}" name="Quanto você estima economizar mensalmente usando aplicativos de descontos e vantagens em postos de gasolina?" dataDxfId="10"/>
    <tableColumn id="10" xr3:uid="{E45466F8-9B87-464B-9DAD-EC372B5E0694}" name="Quais são os principais motivos que levam você a utilizar aplicativos de descontos e vantagens em postos de gasolina?" dataDxfId="9"/>
    <tableColumn id="11" xr3:uid="{1AEDD77A-6BB7-4F9E-831A-6385210A3478}" name="Como você ficou sabendo desses aplicativos de descontos e vantagens? (ex.: amigos, redes sociais, publicidade, funcionários do posto, etc.)" dataDxfId="8"/>
    <tableColumn id="12" xr3:uid="{AE5A829C-72CE-48F9-935C-94378D77B78A}" name="Quais aspectos você considera mais importantes em um aplicativo de descontos e vantagens para postos de gasolina? (ex: facilidade de uso, variedade de vantagens, confiabilidade, etc.)" dataDxfId="7"/>
    <tableColumn id="13" xr3:uid="{5FBA84B2-2D34-4AC5-AFA1-514F5783D837}" name="Com base em sua experiência, quais melhorias você gostaria de ver nos aplicativos de descontos e vantagens para postos de gasolina?" dataDxfId="6"/>
    <tableColumn id="14" xr3:uid="{CB2E17E9-0F85-4E6F-A11B-67061F6C131C}" name="Você já teve algum problema ou dificuldade ao utilizar aplicativos de descontos e vantagens em postos de gasolina? Se sim, descreva o ocorrido e como foi resolvido (se foi resolvido)." dataDxfId="5"/>
    <tableColumn id="15" xr3:uid="{082BDA63-93AF-4947-8DEA-5E6ADB0F9C32}" name="O que você acredita que um aplicativo de descontos e vantagens deveria ter para que você considerasse utilizá-lo?" dataDxfId="4"/>
    <tableColumn id="17" xr3:uid="{8189C039-EDE2-4414-B20F-4F65E02B6462}" name="Renda Suporte" dataDxfId="3">
      <calculatedColumnFormula array="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calculatedColumnFormula>
    </tableColumn>
    <tableColumn id="18" xr3:uid="{B1FB693D-7503-4A1B-B3B2-6FE7C5F9C36B}" name="To Have Suporte" dataDxfId="2"/>
    <tableColumn id="19" xr3:uid="{45B53EA5-40B1-4A20-95A3-F58B151D8DBD}" name="To Have Suporte2" dataDxfId="1" dataCellStyle="Porcentagem">
      <calculatedColumnFormula>1/COUNTIFS(DATA_TB[To Have Suporte],DATA_TB[[#This Row],[To Have Suporte]])</calculatedColumnFormula>
    </tableColumn>
    <tableColumn id="20" xr3:uid="{67D48970-2BCA-4B42-BC85-CFF8A4AE1B11}" name="Contagem" dataDxfId="0">
      <calculatedColumnFormula>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rgbClr val="3B5998"/>
      </a:dk1>
      <a:lt1>
        <a:srgbClr val="FEFAC8"/>
      </a:lt1>
      <a:dk2>
        <a:srgbClr val="35495E"/>
      </a:dk2>
      <a:lt2>
        <a:srgbClr val="FFFFF0"/>
      </a:lt2>
      <a:accent1>
        <a:srgbClr val="B2B2FF"/>
      </a:accent1>
      <a:accent2>
        <a:srgbClr val="FFEAA7"/>
      </a:accent2>
      <a:accent3>
        <a:srgbClr val="73C2FB"/>
      </a:accent3>
      <a:accent4>
        <a:srgbClr val="FFE765"/>
      </a:accent4>
      <a:accent5>
        <a:srgbClr val="CFCFC4"/>
      </a:accent5>
      <a:accent6>
        <a:srgbClr val="808080"/>
      </a:accent6>
      <a:hlink>
        <a:srgbClr val="87CEFA"/>
      </a:hlink>
      <a:folHlink>
        <a:srgbClr val="FFD700"/>
      </a:folHlink>
    </a:clrScheme>
    <a:fontScheme name="Personalizada 1">
      <a:majorFont>
        <a:latin typeface="Arial Rounded MT Bold"/>
        <a:ea typeface=""/>
        <a:cs typeface=""/>
      </a:majorFont>
      <a:minorFont>
        <a:latin typeface="Arial Rounded MT Bol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brielrocha@outlook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B470-481E-4E60-BD53-D8890802FED0}">
  <dimension ref="A1:F6"/>
  <sheetViews>
    <sheetView showGridLines="0" tabSelected="1" zoomScale="80" zoomScaleNormal="80" workbookViewId="0">
      <selection activeCell="G19" sqref="G19"/>
    </sheetView>
  </sheetViews>
  <sheetFormatPr defaultRowHeight="14.25" x14ac:dyDescent="0.2"/>
  <cols>
    <col min="1" max="16384" width="8.88671875" style="1"/>
  </cols>
  <sheetData>
    <row r="1" spans="1:6" s="10" customFormat="1" ht="15" customHeight="1" x14ac:dyDescent="0.2">
      <c r="A1" s="11"/>
      <c r="B1" s="12"/>
      <c r="C1" s="12"/>
      <c r="D1" s="12"/>
      <c r="E1" s="12"/>
      <c r="F1" s="9"/>
    </row>
    <row r="2" spans="1:6" s="10" customFormat="1" ht="15" customHeight="1" x14ac:dyDescent="0.2">
      <c r="A2" s="12"/>
      <c r="B2" s="12"/>
      <c r="C2" s="12"/>
      <c r="D2" s="12"/>
      <c r="E2" s="12"/>
      <c r="F2" s="9"/>
    </row>
    <row r="3" spans="1:6" s="10" customFormat="1" ht="15" customHeight="1" x14ac:dyDescent="0.2">
      <c r="A3" s="12"/>
      <c r="B3" s="12"/>
      <c r="C3" s="12"/>
      <c r="D3" s="12"/>
      <c r="E3" s="12"/>
      <c r="F3" s="9"/>
    </row>
    <row r="4" spans="1:6" s="10" customFormat="1" ht="15" customHeight="1" x14ac:dyDescent="0.2">
      <c r="A4" s="12"/>
      <c r="B4" s="12"/>
      <c r="C4" s="12"/>
      <c r="D4" s="12"/>
      <c r="E4" s="12"/>
      <c r="F4" s="9"/>
    </row>
    <row r="5" spans="1:6" s="10" customFormat="1" x14ac:dyDescent="0.2">
      <c r="A5" s="12"/>
      <c r="B5" s="12"/>
      <c r="C5" s="12"/>
      <c r="D5" s="12"/>
      <c r="E5" s="12"/>
    </row>
    <row r="6" spans="1:6" s="10" customFormat="1" x14ac:dyDescent="0.2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2079-C2F4-4374-A7E9-A8AC953BE5A1}">
  <dimension ref="A1:F6"/>
  <sheetViews>
    <sheetView showGridLines="0" zoomScale="80" zoomScaleNormal="80" workbookViewId="0">
      <selection sqref="A1:E6"/>
    </sheetView>
  </sheetViews>
  <sheetFormatPr defaultRowHeight="14.25" x14ac:dyDescent="0.2"/>
  <cols>
    <col min="1" max="9" width="8.88671875" style="1"/>
    <col min="10" max="10" width="18.44140625" style="1" customWidth="1"/>
    <col min="11" max="11" width="26.77734375" style="1" customWidth="1"/>
    <col min="12" max="16384" width="8.88671875" style="1"/>
  </cols>
  <sheetData>
    <row r="1" spans="1:6" s="10" customFormat="1" ht="15" customHeight="1" x14ac:dyDescent="0.2">
      <c r="A1" s="11"/>
      <c r="B1" s="12"/>
      <c r="C1" s="12"/>
      <c r="D1" s="12"/>
      <c r="E1" s="12"/>
      <c r="F1" s="9"/>
    </row>
    <row r="2" spans="1:6" s="10" customFormat="1" ht="15" customHeight="1" x14ac:dyDescent="0.2">
      <c r="A2" s="12"/>
      <c r="B2" s="12"/>
      <c r="C2" s="12"/>
      <c r="D2" s="12"/>
      <c r="E2" s="12"/>
      <c r="F2" s="9"/>
    </row>
    <row r="3" spans="1:6" s="10" customFormat="1" ht="15" customHeight="1" x14ac:dyDescent="0.2">
      <c r="A3" s="12"/>
      <c r="B3" s="12"/>
      <c r="C3" s="12"/>
      <c r="D3" s="12"/>
      <c r="E3" s="12"/>
      <c r="F3" s="9"/>
    </row>
    <row r="4" spans="1:6" s="10" customFormat="1" ht="15" customHeight="1" x14ac:dyDescent="0.2">
      <c r="A4" s="12"/>
      <c r="B4" s="12"/>
      <c r="C4" s="12"/>
      <c r="D4" s="12"/>
      <c r="E4" s="12"/>
      <c r="F4" s="9"/>
    </row>
    <row r="5" spans="1:6" s="10" customFormat="1" x14ac:dyDescent="0.2">
      <c r="A5" s="12"/>
      <c r="B5" s="12"/>
      <c r="C5" s="12"/>
      <c r="D5" s="12"/>
      <c r="E5" s="12"/>
    </row>
    <row r="6" spans="1:6" s="10" customFormat="1" x14ac:dyDescent="0.2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3304-7672-48B5-9750-9BEF6523841D}">
  <dimension ref="A1:T58"/>
  <sheetViews>
    <sheetView showGridLines="0" zoomScale="80" zoomScaleNormal="80" workbookViewId="0">
      <selection sqref="A1:E6"/>
    </sheetView>
  </sheetViews>
  <sheetFormatPr defaultRowHeight="14.25" x14ac:dyDescent="0.2"/>
  <cols>
    <col min="1" max="1" width="25.33203125" style="1" bestFit="1" customWidth="1"/>
    <col min="2" max="2" width="28.109375" style="1" bestFit="1" customWidth="1"/>
    <col min="3" max="3" width="18.6640625" style="1" bestFit="1" customWidth="1"/>
    <col min="4" max="4" width="21.109375" style="1" bestFit="1" customWidth="1"/>
    <col min="5" max="5" width="17.77734375" style="1" bestFit="1" customWidth="1"/>
    <col min="6" max="6" width="22.5546875" style="1" bestFit="1" customWidth="1"/>
    <col min="7" max="7" width="27.77734375" style="1" bestFit="1" customWidth="1"/>
    <col min="8" max="8" width="28.5546875" style="1" bestFit="1" customWidth="1"/>
    <col min="9" max="9" width="27.77734375" style="1" bestFit="1" customWidth="1"/>
    <col min="10" max="10" width="69" style="1" bestFit="1" customWidth="1"/>
    <col min="11" max="11" width="72.33203125" style="1" bestFit="1" customWidth="1"/>
    <col min="12" max="12" width="77.109375" style="1" bestFit="1" customWidth="1"/>
    <col min="13" max="13" width="72.5546875" style="1" bestFit="1" customWidth="1"/>
    <col min="14" max="14" width="73.109375" style="1" bestFit="1" customWidth="1"/>
    <col min="15" max="15" width="77.109375" style="1" bestFit="1" customWidth="1"/>
    <col min="16" max="16" width="65.5546875" style="1" bestFit="1" customWidth="1"/>
    <col min="17" max="17" width="12.33203125" style="1" bestFit="1" customWidth="1"/>
    <col min="18" max="18" width="23.109375" style="1" customWidth="1"/>
    <col min="19" max="19" width="11.5546875" style="1" bestFit="1" customWidth="1"/>
    <col min="20" max="20" width="12.6640625" style="1" bestFit="1" customWidth="1"/>
    <col min="21" max="21" width="12.88671875" style="1" customWidth="1"/>
    <col min="22" max="16384" width="8.88671875" style="1"/>
  </cols>
  <sheetData>
    <row r="1" spans="1:20" s="10" customFormat="1" ht="15" customHeight="1" x14ac:dyDescent="0.2">
      <c r="A1" s="11"/>
      <c r="B1" s="12"/>
      <c r="C1" s="12"/>
      <c r="D1" s="12"/>
      <c r="E1" s="12"/>
      <c r="F1" s="9"/>
    </row>
    <row r="2" spans="1:20" s="10" customFormat="1" ht="15" customHeight="1" x14ac:dyDescent="0.2">
      <c r="A2" s="12"/>
      <c r="B2" s="12"/>
      <c r="C2" s="12"/>
      <c r="D2" s="12"/>
      <c r="E2" s="12"/>
      <c r="F2" s="9"/>
    </row>
    <row r="3" spans="1:20" s="10" customFormat="1" ht="15" customHeight="1" x14ac:dyDescent="0.2">
      <c r="A3" s="12"/>
      <c r="B3" s="12"/>
      <c r="C3" s="12"/>
      <c r="D3" s="12"/>
      <c r="E3" s="12"/>
      <c r="F3" s="9"/>
    </row>
    <row r="4" spans="1:20" s="10" customFormat="1" ht="15" customHeight="1" x14ac:dyDescent="0.2">
      <c r="A4" s="12"/>
      <c r="B4" s="12"/>
      <c r="C4" s="12"/>
      <c r="D4" s="12"/>
      <c r="E4" s="12"/>
      <c r="F4" s="9"/>
    </row>
    <row r="5" spans="1:20" s="10" customFormat="1" ht="15" customHeight="1" x14ac:dyDescent="0.2">
      <c r="A5" s="12"/>
      <c r="B5" s="12"/>
      <c r="C5" s="12"/>
      <c r="D5" s="12"/>
      <c r="E5" s="12"/>
    </row>
    <row r="6" spans="1:20" s="10" customFormat="1" ht="15" customHeight="1" x14ac:dyDescent="0.2">
      <c r="A6" s="12"/>
      <c r="B6" s="12"/>
      <c r="C6" s="12"/>
      <c r="D6" s="12"/>
      <c r="E6" s="12"/>
    </row>
    <row r="9" spans="1:20" x14ac:dyDescent="0.2">
      <c r="C9" s="2">
        <f>SUBTOTAL(103,DATA_TB[Qual sua idade])</f>
        <v>43</v>
      </c>
    </row>
    <row r="10" spans="1:20" ht="57" x14ac:dyDescent="0.2">
      <c r="A10" s="4" t="s">
        <v>0</v>
      </c>
      <c r="B10" s="4" t="s">
        <v>1</v>
      </c>
      <c r="C10" s="4" t="s">
        <v>2</v>
      </c>
      <c r="D10" s="4" t="s">
        <v>3</v>
      </c>
      <c r="E10" s="4" t="s">
        <v>134</v>
      </c>
      <c r="F10" s="4" t="s">
        <v>4</v>
      </c>
      <c r="G10" s="4" t="s">
        <v>5</v>
      </c>
      <c r="H10" s="4" t="s">
        <v>6</v>
      </c>
      <c r="I10" s="4" t="s">
        <v>7</v>
      </c>
      <c r="J10" s="4" t="s">
        <v>8</v>
      </c>
      <c r="K10" s="4" t="s">
        <v>9</v>
      </c>
      <c r="L10" s="4" t="s">
        <v>10</v>
      </c>
      <c r="M10" s="4" t="s">
        <v>11</v>
      </c>
      <c r="N10" s="4" t="s">
        <v>12</v>
      </c>
      <c r="O10" s="4" t="s">
        <v>13</v>
      </c>
      <c r="P10" s="4" t="s">
        <v>14</v>
      </c>
      <c r="Q10" s="4" t="s">
        <v>141</v>
      </c>
      <c r="R10" s="4" t="s">
        <v>147</v>
      </c>
      <c r="S10" s="4" t="s">
        <v>148</v>
      </c>
      <c r="T10" s="4" t="s">
        <v>149</v>
      </c>
    </row>
    <row r="11" spans="1:20" x14ac:dyDescent="0.2">
      <c r="A11" s="5">
        <v>45052.858310185184</v>
      </c>
      <c r="B11" s="4" t="s">
        <v>15</v>
      </c>
      <c r="C11" s="4" t="s">
        <v>130</v>
      </c>
      <c r="D11" s="4" t="s">
        <v>16</v>
      </c>
      <c r="E11" s="4" t="s">
        <v>136</v>
      </c>
      <c r="F11" s="4" t="s">
        <v>17</v>
      </c>
      <c r="G11" s="4" t="s">
        <v>18</v>
      </c>
      <c r="H11" s="4" t="s">
        <v>19</v>
      </c>
      <c r="I11" s="4" t="s">
        <v>33</v>
      </c>
      <c r="J11" s="4"/>
      <c r="K11" s="4"/>
      <c r="L11" s="4"/>
      <c r="M11" s="4"/>
      <c r="N11" s="4"/>
      <c r="O11" s="4"/>
      <c r="P11" s="4"/>
      <c r="Q11" s="6" cm="1">
        <f t="array" ref="Q1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1" s="4" t="s">
        <v>145</v>
      </c>
      <c r="S11" s="8">
        <f>1/COUNTIFS(DATA_TB[To Have Suporte],DATA_TB[[#This Row],[To Have Suporte]])</f>
        <v>0.16666666666666666</v>
      </c>
      <c r="T11" s="4">
        <f>1</f>
        <v>1</v>
      </c>
    </row>
    <row r="12" spans="1:20" x14ac:dyDescent="0.2">
      <c r="A12" s="5">
        <v>45052.865868055553</v>
      </c>
      <c r="B12" s="4"/>
      <c r="C12" s="4" t="s">
        <v>130</v>
      </c>
      <c r="D12" s="4" t="s">
        <v>16</v>
      </c>
      <c r="E12" s="4" t="s">
        <v>135</v>
      </c>
      <c r="F12" s="4" t="s">
        <v>17</v>
      </c>
      <c r="G12" s="4" t="s">
        <v>20</v>
      </c>
      <c r="H12" s="4" t="s">
        <v>19</v>
      </c>
      <c r="I12" s="4" t="s">
        <v>21</v>
      </c>
      <c r="J12" s="4" t="s">
        <v>22</v>
      </c>
      <c r="K12" s="4" t="s">
        <v>23</v>
      </c>
      <c r="L12" s="4"/>
      <c r="M12" s="4" t="s">
        <v>24</v>
      </c>
      <c r="N12" s="4"/>
      <c r="O12" s="4"/>
      <c r="P12" s="4"/>
      <c r="Q12" s="6" cm="1">
        <f t="array" ref="Q1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2" s="4" t="s">
        <v>145</v>
      </c>
      <c r="S12" s="8">
        <f>1/COUNTIFS(DATA_TB[To Have Suporte],DATA_TB[[#This Row],[To Have Suporte]])</f>
        <v>0.16666666666666666</v>
      </c>
      <c r="T12" s="4">
        <f>1</f>
        <v>1</v>
      </c>
    </row>
    <row r="13" spans="1:20" x14ac:dyDescent="0.2">
      <c r="A13" s="5">
        <v>45053.387060185189</v>
      </c>
      <c r="B13" s="4" t="s">
        <v>25</v>
      </c>
      <c r="C13" s="4" t="s">
        <v>131</v>
      </c>
      <c r="D13" s="4" t="s">
        <v>26</v>
      </c>
      <c r="E13" s="4" t="s">
        <v>136</v>
      </c>
      <c r="F13" s="4" t="s">
        <v>17</v>
      </c>
      <c r="G13" s="4" t="s">
        <v>18</v>
      </c>
      <c r="H13" s="4" t="s">
        <v>19</v>
      </c>
      <c r="I13" s="4" t="s">
        <v>33</v>
      </c>
      <c r="J13" s="4"/>
      <c r="K13" s="4"/>
      <c r="L13" s="4"/>
      <c r="M13" s="4"/>
      <c r="N13" s="4"/>
      <c r="O13" s="4"/>
      <c r="P13" s="4" t="s">
        <v>27</v>
      </c>
      <c r="Q13" s="6" cm="1">
        <f t="array" ref="Q1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3" s="4" t="s">
        <v>143</v>
      </c>
      <c r="S13" s="8">
        <f>1/COUNTIFS(DATA_TB[To Have Suporte],DATA_TB[[#This Row],[To Have Suporte]])</f>
        <v>9.0909090909090912E-2</v>
      </c>
      <c r="T13" s="4">
        <f>1</f>
        <v>1</v>
      </c>
    </row>
    <row r="14" spans="1:20" ht="42.75" x14ac:dyDescent="0.2">
      <c r="A14" s="5">
        <v>45053.480243055557</v>
      </c>
      <c r="B14" s="4" t="s">
        <v>28</v>
      </c>
      <c r="C14" s="4" t="s">
        <v>131</v>
      </c>
      <c r="D14" s="4" t="s">
        <v>16</v>
      </c>
      <c r="E14" s="4" t="s">
        <v>135</v>
      </c>
      <c r="F14" s="4" t="s">
        <v>17</v>
      </c>
      <c r="G14" s="4" t="s">
        <v>20</v>
      </c>
      <c r="H14" s="4" t="s">
        <v>19</v>
      </c>
      <c r="I14" s="4" t="s">
        <v>33</v>
      </c>
      <c r="J14" s="4"/>
      <c r="K14" s="4"/>
      <c r="L14" s="4"/>
      <c r="M14" s="4"/>
      <c r="N14" s="4"/>
      <c r="O14" s="4"/>
      <c r="P14" s="4" t="s">
        <v>29</v>
      </c>
      <c r="Q14" s="6" cm="1">
        <f t="array" ref="Q1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4" s="4" t="s">
        <v>81</v>
      </c>
      <c r="S14" s="8">
        <f>1/COUNTIFS(DATA_TB[To Have Suporte],DATA_TB[[#This Row],[To Have Suporte]])</f>
        <v>7.1428571428571425E-2</v>
      </c>
      <c r="T14" s="4">
        <f>1</f>
        <v>1</v>
      </c>
    </row>
    <row r="15" spans="1:20" ht="28.5" x14ac:dyDescent="0.2">
      <c r="A15" s="5">
        <v>45053.641863425924</v>
      </c>
      <c r="B15" s="4" t="s">
        <v>30</v>
      </c>
      <c r="C15" s="4" t="s">
        <v>132</v>
      </c>
      <c r="D15" s="4" t="s">
        <v>16</v>
      </c>
      <c r="E15" s="4" t="s">
        <v>135</v>
      </c>
      <c r="F15" s="4" t="s">
        <v>17</v>
      </c>
      <c r="G15" s="4" t="s">
        <v>31</v>
      </c>
      <c r="H15" s="4" t="s">
        <v>32</v>
      </c>
      <c r="I15" s="4" t="s">
        <v>33</v>
      </c>
      <c r="J15" s="4" t="s">
        <v>34</v>
      </c>
      <c r="K15" s="4" t="s">
        <v>35</v>
      </c>
      <c r="L15" s="4" t="s">
        <v>36</v>
      </c>
      <c r="M15" s="4" t="s">
        <v>37</v>
      </c>
      <c r="N15" s="4" t="s">
        <v>38</v>
      </c>
      <c r="O15" s="4" t="s">
        <v>39</v>
      </c>
      <c r="P15" s="4" t="s">
        <v>40</v>
      </c>
      <c r="Q15" s="6" cm="1">
        <f t="array" ref="Q1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15" s="4" t="s">
        <v>146</v>
      </c>
      <c r="S15" s="8">
        <f>1/COUNTIFS(DATA_TB[To Have Suporte],DATA_TB[[#This Row],[To Have Suporte]])</f>
        <v>0.1</v>
      </c>
      <c r="T15" s="4">
        <f>1</f>
        <v>1</v>
      </c>
    </row>
    <row r="16" spans="1:20" x14ac:dyDescent="0.2">
      <c r="A16" s="5">
        <v>45053.956250000003</v>
      </c>
      <c r="B16" s="4" t="s">
        <v>41</v>
      </c>
      <c r="C16" s="4" t="s">
        <v>131</v>
      </c>
      <c r="D16" s="4" t="s">
        <v>26</v>
      </c>
      <c r="E16" s="4" t="s">
        <v>135</v>
      </c>
      <c r="F16" s="4" t="s">
        <v>17</v>
      </c>
      <c r="G16" s="4" t="s">
        <v>42</v>
      </c>
      <c r="H16" s="4" t="s">
        <v>19</v>
      </c>
      <c r="I16" s="4" t="s">
        <v>33</v>
      </c>
      <c r="J16" s="4"/>
      <c r="K16" s="4"/>
      <c r="L16" s="4"/>
      <c r="M16" s="4"/>
      <c r="N16" s="4"/>
      <c r="O16" s="4"/>
      <c r="P16" s="4" t="s">
        <v>43</v>
      </c>
      <c r="Q16" s="6" cm="1">
        <f t="array" ref="Q1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16" s="4" t="s">
        <v>142</v>
      </c>
      <c r="S16" s="8">
        <f>1/COUNTIFS(DATA_TB[To Have Suporte],DATA_TB[[#This Row],[To Have Suporte]])</f>
        <v>1</v>
      </c>
      <c r="T16" s="4">
        <f>1</f>
        <v>1</v>
      </c>
    </row>
    <row r="17" spans="1:20" x14ac:dyDescent="0.2">
      <c r="A17" s="5">
        <v>45054.022106481483</v>
      </c>
      <c r="B17" s="4" t="s">
        <v>44</v>
      </c>
      <c r="C17" s="4" t="s">
        <v>131</v>
      </c>
      <c r="D17" s="4" t="s">
        <v>16</v>
      </c>
      <c r="E17" s="4" t="s">
        <v>135</v>
      </c>
      <c r="F17" s="4" t="s">
        <v>17</v>
      </c>
      <c r="G17" s="4" t="s">
        <v>20</v>
      </c>
      <c r="H17" s="4" t="s">
        <v>45</v>
      </c>
      <c r="I17" s="4" t="s">
        <v>33</v>
      </c>
      <c r="J17" s="4" t="s">
        <v>34</v>
      </c>
      <c r="K17" s="4" t="s">
        <v>46</v>
      </c>
      <c r="L17" s="4" t="s">
        <v>47</v>
      </c>
      <c r="M17" s="4" t="s">
        <v>48</v>
      </c>
      <c r="N17" s="4" t="s">
        <v>49</v>
      </c>
      <c r="O17" s="4" t="s">
        <v>50</v>
      </c>
      <c r="P17" s="4" t="s">
        <v>51</v>
      </c>
      <c r="Q17" s="6" cm="1">
        <f t="array" ref="Q1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7" s="4" t="s">
        <v>81</v>
      </c>
      <c r="S17" s="8">
        <f>1/COUNTIFS(DATA_TB[To Have Suporte],DATA_TB[[#This Row],[To Have Suporte]])</f>
        <v>7.1428571428571425E-2</v>
      </c>
      <c r="T17" s="4">
        <f>1</f>
        <v>1</v>
      </c>
    </row>
    <row r="18" spans="1:20" ht="28.5" x14ac:dyDescent="0.2">
      <c r="A18" s="5">
        <v>45054.184444444443</v>
      </c>
      <c r="B18" s="4" t="s">
        <v>52</v>
      </c>
      <c r="C18" s="4" t="s">
        <v>131</v>
      </c>
      <c r="D18" s="4" t="s">
        <v>16</v>
      </c>
      <c r="E18" s="4" t="s">
        <v>135</v>
      </c>
      <c r="F18" s="4" t="s">
        <v>17</v>
      </c>
      <c r="G18" s="4" t="s">
        <v>20</v>
      </c>
      <c r="H18" s="4" t="s">
        <v>19</v>
      </c>
      <c r="I18" s="4" t="s">
        <v>33</v>
      </c>
      <c r="J18" s="4"/>
      <c r="K18" s="4"/>
      <c r="L18" s="4"/>
      <c r="M18" s="4"/>
      <c r="N18" s="4"/>
      <c r="O18" s="4"/>
      <c r="P18" s="4" t="s">
        <v>53</v>
      </c>
      <c r="Q18" s="6" cm="1">
        <f t="array" ref="Q1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8" s="4" t="s">
        <v>81</v>
      </c>
      <c r="S18" s="8">
        <f>1/COUNTIFS(DATA_TB[To Have Suporte],DATA_TB[[#This Row],[To Have Suporte]])</f>
        <v>7.1428571428571425E-2</v>
      </c>
      <c r="T18" s="4">
        <f>1</f>
        <v>1</v>
      </c>
    </row>
    <row r="19" spans="1:20" ht="28.5" x14ac:dyDescent="0.2">
      <c r="A19" s="5">
        <v>45054.203819444447</v>
      </c>
      <c r="B19" s="4" t="s">
        <v>54</v>
      </c>
      <c r="C19" s="4" t="s">
        <v>130</v>
      </c>
      <c r="D19" s="4" t="s">
        <v>16</v>
      </c>
      <c r="E19" s="4" t="s">
        <v>135</v>
      </c>
      <c r="F19" s="4" t="s">
        <v>17</v>
      </c>
      <c r="G19" s="4" t="s">
        <v>55</v>
      </c>
      <c r="H19" s="4" t="s">
        <v>19</v>
      </c>
      <c r="I19" s="4" t="s">
        <v>33</v>
      </c>
      <c r="J19" s="4"/>
      <c r="K19" s="4"/>
      <c r="L19" s="4"/>
      <c r="M19" s="4"/>
      <c r="N19" s="4"/>
      <c r="O19" s="4"/>
      <c r="P19" s="4" t="s">
        <v>56</v>
      </c>
      <c r="Q19" s="6" cm="1">
        <f t="array" ref="Q1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19" s="4" t="s">
        <v>145</v>
      </c>
      <c r="S19" s="8">
        <f>1/COUNTIFS(DATA_TB[To Have Suporte],DATA_TB[[#This Row],[To Have Suporte]])</f>
        <v>0.16666666666666666</v>
      </c>
      <c r="T19" s="4">
        <f>1</f>
        <v>1</v>
      </c>
    </row>
    <row r="20" spans="1:20" x14ac:dyDescent="0.2">
      <c r="A20" s="5">
        <v>45054.335833333331</v>
      </c>
      <c r="B20" s="4" t="s">
        <v>57</v>
      </c>
      <c r="C20" s="4" t="s">
        <v>132</v>
      </c>
      <c r="D20" s="4" t="s">
        <v>26</v>
      </c>
      <c r="E20" s="4" t="s">
        <v>135</v>
      </c>
      <c r="F20" s="4" t="s">
        <v>17</v>
      </c>
      <c r="G20" s="4" t="s">
        <v>31</v>
      </c>
      <c r="H20" s="4" t="s">
        <v>19</v>
      </c>
      <c r="I20" s="4" t="s">
        <v>33</v>
      </c>
      <c r="J20" s="4"/>
      <c r="K20" s="4"/>
      <c r="L20" s="4"/>
      <c r="M20" s="4"/>
      <c r="N20" s="4"/>
      <c r="O20" s="4"/>
      <c r="P20" s="4" t="s">
        <v>58</v>
      </c>
      <c r="Q20" s="6" cm="1">
        <f t="array" ref="Q2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0" s="4" t="s">
        <v>146</v>
      </c>
      <c r="S20" s="8">
        <f>1/COUNTIFS(DATA_TB[To Have Suporte],DATA_TB[[#This Row],[To Have Suporte]])</f>
        <v>0.1</v>
      </c>
      <c r="T20" s="4">
        <f>1</f>
        <v>1</v>
      </c>
    </row>
    <row r="21" spans="1:20" x14ac:dyDescent="0.2">
      <c r="A21" s="5">
        <v>45054.337916666664</v>
      </c>
      <c r="B21" s="4" t="s">
        <v>59</v>
      </c>
      <c r="C21" s="4" t="s">
        <v>130</v>
      </c>
      <c r="D21" s="4" t="s">
        <v>16</v>
      </c>
      <c r="E21" s="4" t="s">
        <v>135</v>
      </c>
      <c r="F21" s="4" t="s">
        <v>17</v>
      </c>
      <c r="G21" s="4" t="s">
        <v>55</v>
      </c>
      <c r="H21" s="4" t="s">
        <v>60</v>
      </c>
      <c r="I21" s="4" t="s">
        <v>33</v>
      </c>
      <c r="J21" s="4" t="s">
        <v>61</v>
      </c>
      <c r="K21" s="4" t="s">
        <v>62</v>
      </c>
      <c r="L21" s="4" t="s">
        <v>47</v>
      </c>
      <c r="M21" s="4" t="s">
        <v>62</v>
      </c>
      <c r="N21" s="4" t="s">
        <v>63</v>
      </c>
      <c r="O21" s="4" t="s">
        <v>64</v>
      </c>
      <c r="P21" s="4" t="s">
        <v>65</v>
      </c>
      <c r="Q21" s="6" cm="1">
        <f t="array" ref="Q2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1" s="4" t="s">
        <v>81</v>
      </c>
      <c r="S21" s="8">
        <f>1/COUNTIFS(DATA_TB[To Have Suporte],DATA_TB[[#This Row],[To Have Suporte]])</f>
        <v>7.1428571428571425E-2</v>
      </c>
      <c r="T21" s="4">
        <f>1</f>
        <v>1</v>
      </c>
    </row>
    <row r="22" spans="1:20" x14ac:dyDescent="0.2">
      <c r="A22" s="5">
        <v>45054.400300925925</v>
      </c>
      <c r="B22" s="4"/>
      <c r="C22" s="4" t="s">
        <v>130</v>
      </c>
      <c r="D22" s="4" t="s">
        <v>26</v>
      </c>
      <c r="E22" s="4" t="s">
        <v>135</v>
      </c>
      <c r="F22" s="4" t="s">
        <v>17</v>
      </c>
      <c r="G22" s="4" t="s">
        <v>42</v>
      </c>
      <c r="H22" s="4" t="s">
        <v>19</v>
      </c>
      <c r="I22" s="4" t="s">
        <v>33</v>
      </c>
      <c r="J22" s="4"/>
      <c r="K22" s="4"/>
      <c r="L22" s="4"/>
      <c r="M22" s="4"/>
      <c r="N22" s="4"/>
      <c r="O22" s="4"/>
      <c r="P22" s="4" t="s">
        <v>66</v>
      </c>
      <c r="Q22" s="6" cm="1">
        <f t="array" ref="Q2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22" s="4" t="s">
        <v>143</v>
      </c>
      <c r="S22" s="8">
        <f>1/COUNTIFS(DATA_TB[To Have Suporte],DATA_TB[[#This Row],[To Have Suporte]])</f>
        <v>9.0909090909090912E-2</v>
      </c>
      <c r="T22" s="4">
        <f>1</f>
        <v>1</v>
      </c>
    </row>
    <row r="23" spans="1:20" x14ac:dyDescent="0.2">
      <c r="A23" s="5">
        <v>45054.400671296295</v>
      </c>
      <c r="B23" s="4"/>
      <c r="C23" s="4" t="s">
        <v>130</v>
      </c>
      <c r="D23" s="4" t="s">
        <v>26</v>
      </c>
      <c r="E23" s="4" t="s">
        <v>135</v>
      </c>
      <c r="F23" s="4" t="s">
        <v>17</v>
      </c>
      <c r="G23" s="4" t="s">
        <v>20</v>
      </c>
      <c r="H23" s="4" t="s">
        <v>19</v>
      </c>
      <c r="I23" s="4" t="s">
        <v>33</v>
      </c>
      <c r="J23" s="4"/>
      <c r="K23" s="4"/>
      <c r="L23" s="4"/>
      <c r="M23" s="4"/>
      <c r="N23" s="4"/>
      <c r="O23" s="4"/>
      <c r="P23" s="4" t="s">
        <v>67</v>
      </c>
      <c r="Q23" s="6" cm="1">
        <f t="array" ref="Q2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3" s="4" t="s">
        <v>81</v>
      </c>
      <c r="S23" s="8">
        <f>1/COUNTIFS(DATA_TB[To Have Suporte],DATA_TB[[#This Row],[To Have Suporte]])</f>
        <v>7.1428571428571425E-2</v>
      </c>
      <c r="T23" s="4">
        <f>1</f>
        <v>1</v>
      </c>
    </row>
    <row r="24" spans="1:20" x14ac:dyDescent="0.2">
      <c r="A24" s="5">
        <v>45054.418182870373</v>
      </c>
      <c r="B24" s="4"/>
      <c r="C24" s="4" t="s">
        <v>130</v>
      </c>
      <c r="D24" s="4" t="s">
        <v>26</v>
      </c>
      <c r="E24" s="4" t="s">
        <v>135</v>
      </c>
      <c r="F24" s="4" t="s">
        <v>17</v>
      </c>
      <c r="G24" s="4" t="s">
        <v>55</v>
      </c>
      <c r="H24" s="4" t="s">
        <v>19</v>
      </c>
      <c r="I24" s="4" t="s">
        <v>33</v>
      </c>
      <c r="J24" s="4"/>
      <c r="K24" s="4"/>
      <c r="L24" s="4"/>
      <c r="M24" s="4"/>
      <c r="N24" s="4"/>
      <c r="O24" s="4"/>
      <c r="P24" s="4" t="s">
        <v>68</v>
      </c>
      <c r="Q24" s="6" cm="1">
        <f t="array" ref="Q2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4" s="4" t="s">
        <v>144</v>
      </c>
      <c r="S24" s="8">
        <f>1/COUNTIFS(DATA_TB[To Have Suporte],DATA_TB[[#This Row],[To Have Suporte]])</f>
        <v>1</v>
      </c>
      <c r="T24" s="4">
        <f>1</f>
        <v>1</v>
      </c>
    </row>
    <row r="25" spans="1:20" x14ac:dyDescent="0.2">
      <c r="A25" s="5">
        <v>45054.419432870367</v>
      </c>
      <c r="B25" s="4"/>
      <c r="C25" s="4" t="s">
        <v>130</v>
      </c>
      <c r="D25" s="4" t="s">
        <v>26</v>
      </c>
      <c r="E25" s="4" t="s">
        <v>135</v>
      </c>
      <c r="F25" s="4" t="s">
        <v>17</v>
      </c>
      <c r="G25" s="4" t="s">
        <v>31</v>
      </c>
      <c r="H25" s="4" t="s">
        <v>19</v>
      </c>
      <c r="I25" s="4" t="s">
        <v>33</v>
      </c>
      <c r="J25" s="4"/>
      <c r="K25" s="4"/>
      <c r="L25" s="4"/>
      <c r="M25" s="4"/>
      <c r="N25" s="4"/>
      <c r="O25" s="4"/>
      <c r="P25" s="4" t="s">
        <v>69</v>
      </c>
      <c r="Q25" s="6" cm="1">
        <f t="array" ref="Q2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5" s="4" t="s">
        <v>143</v>
      </c>
      <c r="S25" s="8">
        <f>1/COUNTIFS(DATA_TB[To Have Suporte],DATA_TB[[#This Row],[To Have Suporte]])</f>
        <v>9.0909090909090912E-2</v>
      </c>
      <c r="T25" s="4">
        <f>1</f>
        <v>1</v>
      </c>
    </row>
    <row r="26" spans="1:20" x14ac:dyDescent="0.2">
      <c r="A26" s="5">
        <v>45054.419872685183</v>
      </c>
      <c r="B26" s="4"/>
      <c r="C26" s="4" t="s">
        <v>130</v>
      </c>
      <c r="D26" s="4" t="s">
        <v>16</v>
      </c>
      <c r="E26" s="4" t="s">
        <v>135</v>
      </c>
      <c r="F26" s="4" t="s">
        <v>17</v>
      </c>
      <c r="G26" s="4" t="s">
        <v>18</v>
      </c>
      <c r="H26" s="4" t="s">
        <v>19</v>
      </c>
      <c r="I26" s="4" t="s">
        <v>33</v>
      </c>
      <c r="J26" s="4"/>
      <c r="K26" s="4"/>
      <c r="L26" s="4"/>
      <c r="M26" s="4"/>
      <c r="N26" s="4"/>
      <c r="O26" s="4"/>
      <c r="P26" s="4" t="s">
        <v>70</v>
      </c>
      <c r="Q26" s="6" cm="1">
        <f t="array" ref="Q2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6" s="4" t="s">
        <v>143</v>
      </c>
      <c r="S26" s="8">
        <f>1/COUNTIFS(DATA_TB[To Have Suporte],DATA_TB[[#This Row],[To Have Suporte]])</f>
        <v>9.0909090909090912E-2</v>
      </c>
      <c r="T26" s="4">
        <f>1</f>
        <v>1</v>
      </c>
    </row>
    <row r="27" spans="1:20" x14ac:dyDescent="0.2">
      <c r="A27" s="5">
        <v>45054.420011574075</v>
      </c>
      <c r="B27" s="4"/>
      <c r="C27" s="4" t="s">
        <v>130</v>
      </c>
      <c r="D27" s="4" t="s">
        <v>16</v>
      </c>
      <c r="E27" s="4" t="s">
        <v>135</v>
      </c>
      <c r="F27" s="4" t="s">
        <v>17</v>
      </c>
      <c r="G27" s="4" t="s">
        <v>18</v>
      </c>
      <c r="H27" s="4" t="s">
        <v>19</v>
      </c>
      <c r="I27" s="4" t="s">
        <v>33</v>
      </c>
      <c r="J27" s="4"/>
      <c r="K27" s="4"/>
      <c r="L27" s="4"/>
      <c r="M27" s="4"/>
      <c r="N27" s="4"/>
      <c r="O27" s="4"/>
      <c r="P27" s="4" t="s">
        <v>71</v>
      </c>
      <c r="Q27" s="6" cm="1">
        <f t="array" ref="Q2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7" s="4" t="s">
        <v>145</v>
      </c>
      <c r="S27" s="8">
        <f>1/COUNTIFS(DATA_TB[To Have Suporte],DATA_TB[[#This Row],[To Have Suporte]])</f>
        <v>0.16666666666666666</v>
      </c>
      <c r="T27" s="4">
        <f>1</f>
        <v>1</v>
      </c>
    </row>
    <row r="28" spans="1:20" x14ac:dyDescent="0.2">
      <c r="A28" s="5">
        <v>45054.421550925923</v>
      </c>
      <c r="B28" s="4"/>
      <c r="C28" s="4" t="s">
        <v>130</v>
      </c>
      <c r="D28" s="4" t="s">
        <v>26</v>
      </c>
      <c r="E28" s="4" t="s">
        <v>135</v>
      </c>
      <c r="F28" s="4" t="s">
        <v>17</v>
      </c>
      <c r="G28" s="4" t="s">
        <v>20</v>
      </c>
      <c r="H28" s="4" t="s">
        <v>45</v>
      </c>
      <c r="I28" s="4" t="s">
        <v>33</v>
      </c>
      <c r="J28" s="4" t="s">
        <v>61</v>
      </c>
      <c r="K28" s="4" t="s">
        <v>72</v>
      </c>
      <c r="L28" s="4" t="s">
        <v>73</v>
      </c>
      <c r="M28" s="4" t="s">
        <v>74</v>
      </c>
      <c r="N28" s="4" t="s">
        <v>75</v>
      </c>
      <c r="O28" s="4" t="s">
        <v>76</v>
      </c>
      <c r="P28" s="4" t="s">
        <v>77</v>
      </c>
      <c r="Q28" s="6" cm="1">
        <f t="array" ref="Q2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8" s="4" t="s">
        <v>81</v>
      </c>
      <c r="S28" s="8">
        <f>1/COUNTIFS(DATA_TB[To Have Suporte],DATA_TB[[#This Row],[To Have Suporte]])</f>
        <v>7.1428571428571425E-2</v>
      </c>
      <c r="T28" s="4">
        <f>1</f>
        <v>1</v>
      </c>
    </row>
    <row r="29" spans="1:20" x14ac:dyDescent="0.2">
      <c r="A29" s="5">
        <v>45054.423148148147</v>
      </c>
      <c r="B29" s="4"/>
      <c r="C29" s="4" t="s">
        <v>130</v>
      </c>
      <c r="D29" s="4" t="s">
        <v>16</v>
      </c>
      <c r="E29" s="4" t="s">
        <v>135</v>
      </c>
      <c r="F29" s="4" t="s">
        <v>17</v>
      </c>
      <c r="G29" s="4" t="s">
        <v>55</v>
      </c>
      <c r="H29" s="4" t="s">
        <v>19</v>
      </c>
      <c r="I29" s="4" t="s">
        <v>33</v>
      </c>
      <c r="J29" s="4"/>
      <c r="K29" s="4"/>
      <c r="L29" s="4"/>
      <c r="M29" s="4"/>
      <c r="N29" s="4"/>
      <c r="O29" s="4"/>
      <c r="P29" s="4" t="s">
        <v>78</v>
      </c>
      <c r="Q29" s="6" cm="1">
        <f t="array" ref="Q2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9" s="4" t="s">
        <v>81</v>
      </c>
      <c r="S29" s="8">
        <f>1/COUNTIFS(DATA_TB[To Have Suporte],DATA_TB[[#This Row],[To Have Suporte]])</f>
        <v>7.1428571428571425E-2</v>
      </c>
      <c r="T29" s="4">
        <f>1</f>
        <v>1</v>
      </c>
    </row>
    <row r="30" spans="1:20" x14ac:dyDescent="0.2">
      <c r="A30" s="5">
        <v>45054.423379629632</v>
      </c>
      <c r="B30" s="4"/>
      <c r="C30" s="4" t="s">
        <v>130</v>
      </c>
      <c r="D30" s="4" t="s">
        <v>16</v>
      </c>
      <c r="E30" s="4" t="s">
        <v>135</v>
      </c>
      <c r="F30" s="4" t="s">
        <v>17</v>
      </c>
      <c r="G30" s="4" t="s">
        <v>55</v>
      </c>
      <c r="H30" s="4" t="s">
        <v>19</v>
      </c>
      <c r="I30" s="4" t="s">
        <v>33</v>
      </c>
      <c r="J30" s="4"/>
      <c r="K30" s="4"/>
      <c r="L30" s="4"/>
      <c r="M30" s="4"/>
      <c r="N30" s="4"/>
      <c r="O30" s="4"/>
      <c r="P30" s="4" t="s">
        <v>79</v>
      </c>
      <c r="Q30" s="6" cm="1">
        <f t="array" ref="Q3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0" s="4" t="s">
        <v>81</v>
      </c>
      <c r="S30" s="8">
        <f>1/COUNTIFS(DATA_TB[To Have Suporte],DATA_TB[[#This Row],[To Have Suporte]])</f>
        <v>7.1428571428571425E-2</v>
      </c>
      <c r="T30" s="4">
        <f>1</f>
        <v>1</v>
      </c>
    </row>
    <row r="31" spans="1:20" x14ac:dyDescent="0.2">
      <c r="A31" s="5">
        <v>45054.43005787037</v>
      </c>
      <c r="B31" s="4"/>
      <c r="C31" s="4" t="s">
        <v>133</v>
      </c>
      <c r="D31" s="4" t="s">
        <v>16</v>
      </c>
      <c r="E31" s="4" t="s">
        <v>135</v>
      </c>
      <c r="F31" s="4" t="s">
        <v>17</v>
      </c>
      <c r="G31" s="4" t="s">
        <v>55</v>
      </c>
      <c r="H31" s="4" t="s">
        <v>19</v>
      </c>
      <c r="I31" s="4" t="s">
        <v>33</v>
      </c>
      <c r="J31" s="4"/>
      <c r="K31" s="4"/>
      <c r="L31" s="4"/>
      <c r="M31" s="4"/>
      <c r="N31" s="4"/>
      <c r="O31" s="4"/>
      <c r="P31" s="4" t="s">
        <v>80</v>
      </c>
      <c r="Q31" s="6" cm="1">
        <f t="array" ref="Q3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1" s="4" t="s">
        <v>143</v>
      </c>
      <c r="S31" s="8">
        <f>1/COUNTIFS(DATA_TB[To Have Suporte],DATA_TB[[#This Row],[To Have Suporte]])</f>
        <v>9.0909090909090912E-2</v>
      </c>
      <c r="T31" s="4">
        <f>1</f>
        <v>1</v>
      </c>
    </row>
    <row r="32" spans="1:20" x14ac:dyDescent="0.2">
      <c r="A32" s="5">
        <v>45054.431759259256</v>
      </c>
      <c r="B32" s="4"/>
      <c r="C32" s="4" t="s">
        <v>130</v>
      </c>
      <c r="D32" s="4" t="s">
        <v>26</v>
      </c>
      <c r="E32" s="4" t="s">
        <v>135</v>
      </c>
      <c r="F32" s="4" t="s">
        <v>17</v>
      </c>
      <c r="G32" s="4" t="s">
        <v>20</v>
      </c>
      <c r="H32" s="4" t="s">
        <v>19</v>
      </c>
      <c r="I32" s="4" t="s">
        <v>33</v>
      </c>
      <c r="J32" s="4"/>
      <c r="K32" s="4"/>
      <c r="L32" s="4"/>
      <c r="M32" s="4"/>
      <c r="N32" s="4"/>
      <c r="O32" s="4"/>
      <c r="P32" s="4" t="s">
        <v>81</v>
      </c>
      <c r="Q32" s="6" cm="1">
        <f t="array" ref="Q3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2" s="4" t="s">
        <v>81</v>
      </c>
      <c r="S32" s="8">
        <f>1/COUNTIFS(DATA_TB[To Have Suporte],DATA_TB[[#This Row],[To Have Suporte]])</f>
        <v>7.1428571428571425E-2</v>
      </c>
      <c r="T32" s="4">
        <f>1</f>
        <v>1</v>
      </c>
    </row>
    <row r="33" spans="1:20" x14ac:dyDescent="0.2">
      <c r="A33" s="5">
        <v>45054.436898148146</v>
      </c>
      <c r="B33" s="4"/>
      <c r="C33" s="4" t="s">
        <v>131</v>
      </c>
      <c r="D33" s="4" t="s">
        <v>16</v>
      </c>
      <c r="E33" s="4" t="s">
        <v>135</v>
      </c>
      <c r="F33" s="4" t="s">
        <v>17</v>
      </c>
      <c r="G33" s="4" t="s">
        <v>20</v>
      </c>
      <c r="H33" s="4" t="s">
        <v>19</v>
      </c>
      <c r="I33" s="4" t="s">
        <v>33</v>
      </c>
      <c r="J33" s="4"/>
      <c r="K33" s="4"/>
      <c r="L33" s="4"/>
      <c r="M33" s="4"/>
      <c r="N33" s="4"/>
      <c r="O33" s="4"/>
      <c r="P33" s="4" t="s">
        <v>82</v>
      </c>
      <c r="Q33" s="6" cm="1">
        <f t="array" ref="Q3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3" s="4" t="s">
        <v>146</v>
      </c>
      <c r="S33" s="8">
        <f>1/COUNTIFS(DATA_TB[To Have Suporte],DATA_TB[[#This Row],[To Have Suporte]])</f>
        <v>0.1</v>
      </c>
      <c r="T33" s="4">
        <f>1</f>
        <v>1</v>
      </c>
    </row>
    <row r="34" spans="1:20" x14ac:dyDescent="0.2">
      <c r="A34" s="5">
        <v>45054.44872685185</v>
      </c>
      <c r="B34" s="4"/>
      <c r="C34" s="4" t="s">
        <v>130</v>
      </c>
      <c r="D34" s="4" t="s">
        <v>16</v>
      </c>
      <c r="E34" s="4" t="s">
        <v>135</v>
      </c>
      <c r="F34" s="4" t="s">
        <v>17</v>
      </c>
      <c r="G34" s="4" t="s">
        <v>55</v>
      </c>
      <c r="H34" s="4" t="s">
        <v>19</v>
      </c>
      <c r="I34" s="4" t="s">
        <v>33</v>
      </c>
      <c r="J34" s="4"/>
      <c r="K34" s="4"/>
      <c r="L34" s="4"/>
      <c r="M34" s="4"/>
      <c r="N34" s="4"/>
      <c r="O34" s="4"/>
      <c r="P34" s="4" t="s">
        <v>71</v>
      </c>
      <c r="Q34" s="6" cm="1">
        <f t="array" ref="Q3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4" s="4" t="s">
        <v>145</v>
      </c>
      <c r="S34" s="8">
        <f>1/COUNTIFS(DATA_TB[To Have Suporte],DATA_TB[[#This Row],[To Have Suporte]])</f>
        <v>0.16666666666666666</v>
      </c>
      <c r="T34" s="4">
        <f>1</f>
        <v>1</v>
      </c>
    </row>
    <row r="35" spans="1:20" x14ac:dyDescent="0.2">
      <c r="A35" s="5">
        <v>45054.522824074076</v>
      </c>
      <c r="B35" s="4"/>
      <c r="C35" s="4" t="s">
        <v>131</v>
      </c>
      <c r="D35" s="4" t="s">
        <v>16</v>
      </c>
      <c r="E35" s="4" t="s">
        <v>135</v>
      </c>
      <c r="F35" s="4" t="s">
        <v>17</v>
      </c>
      <c r="G35" s="4" t="s">
        <v>20</v>
      </c>
      <c r="H35" s="4" t="s">
        <v>19</v>
      </c>
      <c r="I35" s="4" t="s">
        <v>33</v>
      </c>
      <c r="J35" s="4"/>
      <c r="K35" s="4"/>
      <c r="L35" s="4"/>
      <c r="M35" s="4"/>
      <c r="N35" s="4"/>
      <c r="O35" s="4"/>
      <c r="P35" s="4" t="s">
        <v>83</v>
      </c>
      <c r="Q35" s="6" cm="1">
        <f t="array" ref="Q3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5" s="4" t="s">
        <v>143</v>
      </c>
      <c r="S35" s="8">
        <f>1/COUNTIFS(DATA_TB[To Have Suporte],DATA_TB[[#This Row],[To Have Suporte]])</f>
        <v>9.0909090909090912E-2</v>
      </c>
      <c r="T35" s="4">
        <f>1</f>
        <v>1</v>
      </c>
    </row>
    <row r="36" spans="1:20" ht="28.5" x14ac:dyDescent="0.2">
      <c r="A36" s="5">
        <v>45054.45989583333</v>
      </c>
      <c r="B36" s="4" t="s">
        <v>84</v>
      </c>
      <c r="C36" s="4" t="s">
        <v>131</v>
      </c>
      <c r="D36" s="4" t="s">
        <v>26</v>
      </c>
      <c r="E36" s="4" t="s">
        <v>135</v>
      </c>
      <c r="F36" s="4" t="s">
        <v>17</v>
      </c>
      <c r="G36" s="4" t="s">
        <v>31</v>
      </c>
      <c r="H36" s="4" t="s">
        <v>19</v>
      </c>
      <c r="I36" s="4" t="s">
        <v>33</v>
      </c>
      <c r="J36" s="4"/>
      <c r="K36" s="4"/>
      <c r="L36" s="4"/>
      <c r="M36" s="4"/>
      <c r="N36" s="4"/>
      <c r="O36" s="4"/>
      <c r="P36" s="4" t="s">
        <v>85</v>
      </c>
      <c r="Q36" s="6" cm="1">
        <f t="array" ref="Q3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36" s="4" t="s">
        <v>81</v>
      </c>
      <c r="S36" s="8">
        <f>1/COUNTIFS(DATA_TB[To Have Suporte],DATA_TB[[#This Row],[To Have Suporte]])</f>
        <v>7.1428571428571425E-2</v>
      </c>
      <c r="T36" s="4">
        <f>1</f>
        <v>1</v>
      </c>
    </row>
    <row r="37" spans="1:20" ht="28.5" x14ac:dyDescent="0.2">
      <c r="A37" s="5">
        <v>45054.465833333335</v>
      </c>
      <c r="B37" s="4"/>
      <c r="C37" s="4" t="s">
        <v>130</v>
      </c>
      <c r="D37" s="4" t="s">
        <v>26</v>
      </c>
      <c r="E37" s="4" t="s">
        <v>135</v>
      </c>
      <c r="F37" s="4" t="s">
        <v>17</v>
      </c>
      <c r="G37" s="4" t="s">
        <v>20</v>
      </c>
      <c r="H37" s="4" t="s">
        <v>19</v>
      </c>
      <c r="I37" s="4" t="s">
        <v>33</v>
      </c>
      <c r="J37" s="4"/>
      <c r="K37" s="4"/>
      <c r="L37" s="4"/>
      <c r="M37" s="4"/>
      <c r="N37" s="4"/>
      <c r="O37" s="4"/>
      <c r="P37" s="4" t="s">
        <v>86</v>
      </c>
      <c r="Q37" s="6" cm="1">
        <f t="array" ref="Q3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7" s="4" t="s">
        <v>143</v>
      </c>
      <c r="S37" s="8">
        <f>1/COUNTIFS(DATA_TB[To Have Suporte],DATA_TB[[#This Row],[To Have Suporte]])</f>
        <v>9.0909090909090912E-2</v>
      </c>
      <c r="T37" s="4">
        <f>1</f>
        <v>1</v>
      </c>
    </row>
    <row r="38" spans="1:20" x14ac:dyDescent="0.2">
      <c r="A38" s="5">
        <v>45054.470960648148</v>
      </c>
      <c r="B38" s="4"/>
      <c r="C38" s="4" t="s">
        <v>131</v>
      </c>
      <c r="D38" s="4" t="s">
        <v>16</v>
      </c>
      <c r="E38" s="4" t="s">
        <v>135</v>
      </c>
      <c r="F38" s="4" t="s">
        <v>17</v>
      </c>
      <c r="G38" s="4" t="s">
        <v>20</v>
      </c>
      <c r="H38" s="4" t="s">
        <v>19</v>
      </c>
      <c r="I38" s="4" t="s">
        <v>33</v>
      </c>
      <c r="J38" s="4"/>
      <c r="K38" s="4"/>
      <c r="L38" s="4"/>
      <c r="M38" s="4"/>
      <c r="N38" s="4"/>
      <c r="O38" s="4"/>
      <c r="P38" s="4" t="s">
        <v>87</v>
      </c>
      <c r="Q38" s="6" cm="1">
        <f t="array" ref="Q3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8" s="4" t="s">
        <v>81</v>
      </c>
      <c r="S38" s="8">
        <f>1/COUNTIFS(DATA_TB[To Have Suporte],DATA_TB[[#This Row],[To Have Suporte]])</f>
        <v>7.1428571428571425E-2</v>
      </c>
      <c r="T38" s="4">
        <f>1</f>
        <v>1</v>
      </c>
    </row>
    <row r="39" spans="1:20" x14ac:dyDescent="0.2">
      <c r="A39" s="5">
        <v>45054.475277777776</v>
      </c>
      <c r="B39" s="4"/>
      <c r="C39" s="4" t="s">
        <v>131</v>
      </c>
      <c r="D39" s="4" t="s">
        <v>26</v>
      </c>
      <c r="E39" s="4" t="s">
        <v>135</v>
      </c>
      <c r="F39" s="4" t="s">
        <v>17</v>
      </c>
      <c r="G39" s="4" t="s">
        <v>20</v>
      </c>
      <c r="H39" s="4" t="s">
        <v>19</v>
      </c>
      <c r="I39" s="4" t="s">
        <v>33</v>
      </c>
      <c r="J39" s="4"/>
      <c r="K39" s="4"/>
      <c r="L39" s="4"/>
      <c r="M39" s="4"/>
      <c r="N39" s="4"/>
      <c r="O39" s="4"/>
      <c r="P39" s="4" t="s">
        <v>88</v>
      </c>
      <c r="Q39" s="6" cm="1">
        <f t="array" ref="Q3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9" s="4" t="s">
        <v>81</v>
      </c>
      <c r="S39" s="8">
        <f>1/COUNTIFS(DATA_TB[To Have Suporte],DATA_TB[[#This Row],[To Have Suporte]])</f>
        <v>7.1428571428571425E-2</v>
      </c>
      <c r="T39" s="4">
        <f>1</f>
        <v>1</v>
      </c>
    </row>
    <row r="40" spans="1:20" x14ac:dyDescent="0.2">
      <c r="A40" s="5">
        <v>45054.561527777776</v>
      </c>
      <c r="B40" s="4"/>
      <c r="C40" s="4" t="s">
        <v>133</v>
      </c>
      <c r="D40" s="4" t="s">
        <v>26</v>
      </c>
      <c r="E40" s="4" t="s">
        <v>135</v>
      </c>
      <c r="F40" s="4" t="s">
        <v>17</v>
      </c>
      <c r="G40" s="4" t="s">
        <v>55</v>
      </c>
      <c r="H40" s="4" t="s">
        <v>19</v>
      </c>
      <c r="I40" s="4" t="s">
        <v>33</v>
      </c>
      <c r="J40" s="4"/>
      <c r="K40" s="4"/>
      <c r="L40" s="4"/>
      <c r="M40" s="4"/>
      <c r="N40" s="4"/>
      <c r="O40" s="4"/>
      <c r="P40" s="4" t="s">
        <v>89</v>
      </c>
      <c r="Q40" s="6" cm="1">
        <f t="array" ref="Q4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0" s="4" t="s">
        <v>143</v>
      </c>
      <c r="S40" s="8">
        <f>1/COUNTIFS(DATA_TB[To Have Suporte],DATA_TB[[#This Row],[To Have Suporte]])</f>
        <v>9.0909090909090912E-2</v>
      </c>
      <c r="T40" s="4">
        <f>1</f>
        <v>1</v>
      </c>
    </row>
    <row r="41" spans="1:20" ht="28.5" x14ac:dyDescent="0.2">
      <c r="A41" s="5">
        <v>45054.689085648148</v>
      </c>
      <c r="B41" s="4"/>
      <c r="C41" s="4" t="s">
        <v>130</v>
      </c>
      <c r="D41" s="4" t="s">
        <v>26</v>
      </c>
      <c r="E41" s="4" t="s">
        <v>135</v>
      </c>
      <c r="F41" s="4" t="s">
        <v>17</v>
      </c>
      <c r="G41" s="4" t="s">
        <v>31</v>
      </c>
      <c r="H41" s="4" t="s">
        <v>19</v>
      </c>
      <c r="I41" s="4" t="s">
        <v>33</v>
      </c>
      <c r="J41" s="4"/>
      <c r="K41" s="4"/>
      <c r="L41" s="4"/>
      <c r="M41" s="4"/>
      <c r="N41" s="4"/>
      <c r="O41" s="4"/>
      <c r="P41" s="4" t="s">
        <v>90</v>
      </c>
      <c r="Q41" s="6" cm="1">
        <f t="array" ref="Q4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41" s="4" t="s">
        <v>146</v>
      </c>
      <c r="S41" s="8">
        <f>1/COUNTIFS(DATA_TB[To Have Suporte],DATA_TB[[#This Row],[To Have Suporte]])</f>
        <v>0.1</v>
      </c>
      <c r="T41" s="4">
        <f>1</f>
        <v>1</v>
      </c>
    </row>
    <row r="42" spans="1:20" x14ac:dyDescent="0.2">
      <c r="A42" s="5">
        <v>45054.725300925929</v>
      </c>
      <c r="B42" s="4"/>
      <c r="C42" s="4" t="s">
        <v>131</v>
      </c>
      <c r="D42" s="4" t="s">
        <v>26</v>
      </c>
      <c r="E42" s="4" t="s">
        <v>135</v>
      </c>
      <c r="F42" s="4" t="s">
        <v>17</v>
      </c>
      <c r="G42" s="4" t="s">
        <v>55</v>
      </c>
      <c r="H42" s="4" t="s">
        <v>32</v>
      </c>
      <c r="I42" s="4" t="s">
        <v>33</v>
      </c>
      <c r="J42" s="4" t="s">
        <v>22</v>
      </c>
      <c r="K42" s="4" t="s">
        <v>91</v>
      </c>
      <c r="L42" s="4" t="s">
        <v>47</v>
      </c>
      <c r="M42" s="4" t="s">
        <v>92</v>
      </c>
      <c r="N42" s="4" t="s">
        <v>93</v>
      </c>
      <c r="O42" s="4" t="s">
        <v>94</v>
      </c>
      <c r="P42" s="4" t="s">
        <v>95</v>
      </c>
      <c r="Q42" s="6" cm="1">
        <f t="array" ref="Q4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2" s="4" t="s">
        <v>146</v>
      </c>
      <c r="S42" s="8">
        <f>1/COUNTIFS(DATA_TB[To Have Suporte],DATA_TB[[#This Row],[To Have Suporte]])</f>
        <v>0.1</v>
      </c>
      <c r="T42" s="4">
        <f>1</f>
        <v>1</v>
      </c>
    </row>
    <row r="43" spans="1:20" x14ac:dyDescent="0.2">
      <c r="A43" s="5">
        <v>45054.915462962963</v>
      </c>
      <c r="B43" s="4"/>
      <c r="C43" s="4" t="s">
        <v>131</v>
      </c>
      <c r="D43" s="4" t="s">
        <v>26</v>
      </c>
      <c r="E43" s="4" t="s">
        <v>135</v>
      </c>
      <c r="F43" s="4" t="s">
        <v>17</v>
      </c>
      <c r="G43" s="4" t="s">
        <v>55</v>
      </c>
      <c r="H43" s="4" t="s">
        <v>32</v>
      </c>
      <c r="I43" s="4" t="s">
        <v>33</v>
      </c>
      <c r="J43" s="4" t="s">
        <v>61</v>
      </c>
      <c r="K43" s="4" t="s">
        <v>96</v>
      </c>
      <c r="L43" s="4" t="s">
        <v>97</v>
      </c>
      <c r="M43" s="4" t="s">
        <v>98</v>
      </c>
      <c r="N43" s="4" t="s">
        <v>99</v>
      </c>
      <c r="O43" s="4" t="s">
        <v>100</v>
      </c>
      <c r="P43" s="4" t="s">
        <v>101</v>
      </c>
      <c r="Q43" s="6" cm="1">
        <f t="array" ref="Q4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3" s="4" t="s">
        <v>81</v>
      </c>
      <c r="S43" s="8">
        <f>1/COUNTIFS(DATA_TB[To Have Suporte],DATA_TB[[#This Row],[To Have Suporte]])</f>
        <v>7.1428571428571425E-2</v>
      </c>
      <c r="T43" s="4">
        <f>1</f>
        <v>1</v>
      </c>
    </row>
    <row r="44" spans="1:20" x14ac:dyDescent="0.2">
      <c r="A44" s="5">
        <v>45056.854571759257</v>
      </c>
      <c r="B44" s="4"/>
      <c r="C44" s="4" t="s">
        <v>133</v>
      </c>
      <c r="D44" s="4" t="s">
        <v>16</v>
      </c>
      <c r="E44" s="4" t="s">
        <v>136</v>
      </c>
      <c r="F44" s="4" t="s">
        <v>17</v>
      </c>
      <c r="G44" s="4" t="s">
        <v>18</v>
      </c>
      <c r="H44" s="4" t="s">
        <v>19</v>
      </c>
      <c r="I44" s="4" t="s">
        <v>33</v>
      </c>
      <c r="J44" s="4"/>
      <c r="K44" s="4"/>
      <c r="L44" s="4"/>
      <c r="M44" s="4"/>
      <c r="N44" s="4"/>
      <c r="O44" s="4"/>
      <c r="P44" s="4" t="s">
        <v>102</v>
      </c>
      <c r="Q44" s="6" cm="1">
        <f t="array" ref="Q4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4" s="4" t="s">
        <v>143</v>
      </c>
      <c r="S44" s="8">
        <f>1/COUNTIFS(DATA_TB[To Have Suporte],DATA_TB[[#This Row],[To Have Suporte]])</f>
        <v>9.0909090909090912E-2</v>
      </c>
      <c r="T44" s="4">
        <f>1</f>
        <v>1</v>
      </c>
    </row>
    <row r="45" spans="1:20" x14ac:dyDescent="0.2">
      <c r="A45" s="5">
        <v>45057.674560185187</v>
      </c>
      <c r="B45" s="4"/>
      <c r="C45" s="4" t="s">
        <v>133</v>
      </c>
      <c r="D45" s="4" t="s">
        <v>16</v>
      </c>
      <c r="E45" s="4" t="s">
        <v>138</v>
      </c>
      <c r="F45" s="4" t="s">
        <v>103</v>
      </c>
      <c r="G45" s="4" t="s">
        <v>18</v>
      </c>
      <c r="H45" s="4" t="s">
        <v>60</v>
      </c>
      <c r="I45" s="4" t="s">
        <v>33</v>
      </c>
      <c r="J45" s="4" t="s">
        <v>34</v>
      </c>
      <c r="K45" s="4" t="s">
        <v>104</v>
      </c>
      <c r="L45" s="4" t="s">
        <v>105</v>
      </c>
      <c r="M45" s="4" t="s">
        <v>106</v>
      </c>
      <c r="N45" s="4" t="s">
        <v>107</v>
      </c>
      <c r="O45" s="4" t="s">
        <v>108</v>
      </c>
      <c r="P45" s="4" t="s">
        <v>109</v>
      </c>
      <c r="Q45" s="6" cm="1">
        <f t="array" ref="Q4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5" s="4" t="s">
        <v>146</v>
      </c>
      <c r="S45" s="8">
        <f>1/COUNTIFS(DATA_TB[To Have Suporte],DATA_TB[[#This Row],[To Have Suporte]])</f>
        <v>0.1</v>
      </c>
      <c r="T45" s="4">
        <f>1</f>
        <v>1</v>
      </c>
    </row>
    <row r="46" spans="1:20" ht="28.5" x14ac:dyDescent="0.2">
      <c r="A46" s="5">
        <v>45057.68304398148</v>
      </c>
      <c r="B46" s="4"/>
      <c r="C46" s="4" t="s">
        <v>130</v>
      </c>
      <c r="D46" s="4" t="s">
        <v>26</v>
      </c>
      <c r="E46" s="4" t="s">
        <v>135</v>
      </c>
      <c r="F46" s="4" t="s">
        <v>17</v>
      </c>
      <c r="G46" s="4" t="s">
        <v>55</v>
      </c>
      <c r="H46" s="4" t="s">
        <v>60</v>
      </c>
      <c r="I46" s="4" t="s">
        <v>33</v>
      </c>
      <c r="J46" s="4" t="s">
        <v>34</v>
      </c>
      <c r="K46" s="4" t="s">
        <v>110</v>
      </c>
      <c r="L46" s="4" t="s">
        <v>111</v>
      </c>
      <c r="M46" s="4" t="s">
        <v>112</v>
      </c>
      <c r="N46" s="4" t="s">
        <v>113</v>
      </c>
      <c r="O46" s="4" t="s">
        <v>114</v>
      </c>
      <c r="P46" s="4" t="s">
        <v>115</v>
      </c>
      <c r="Q46" s="6" cm="1">
        <f t="array" ref="Q4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6" s="4" t="s">
        <v>143</v>
      </c>
      <c r="S46" s="8">
        <f>1/COUNTIFS(DATA_TB[To Have Suporte],DATA_TB[[#This Row],[To Have Suporte]])</f>
        <v>9.0909090909090912E-2</v>
      </c>
      <c r="T46" s="4">
        <f>1</f>
        <v>1</v>
      </c>
    </row>
    <row r="47" spans="1:20" x14ac:dyDescent="0.2">
      <c r="A47" s="5">
        <v>45057.687939814816</v>
      </c>
      <c r="B47" s="4"/>
      <c r="C47" s="4" t="s">
        <v>133</v>
      </c>
      <c r="D47" s="4" t="s">
        <v>16</v>
      </c>
      <c r="E47" s="4" t="s">
        <v>135</v>
      </c>
      <c r="F47" s="4" t="s">
        <v>17</v>
      </c>
      <c r="G47" s="4" t="s">
        <v>18</v>
      </c>
      <c r="H47" s="4" t="s">
        <v>19</v>
      </c>
      <c r="I47" s="4" t="s">
        <v>33</v>
      </c>
      <c r="J47" s="4"/>
      <c r="K47" s="4"/>
      <c r="L47" s="4"/>
      <c r="M47" s="4"/>
      <c r="N47" s="4"/>
      <c r="O47" s="4"/>
      <c r="P47" s="4" t="s">
        <v>116</v>
      </c>
      <c r="Q47" s="6" cm="1">
        <f t="array" ref="Q4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7" s="4" t="s">
        <v>146</v>
      </c>
      <c r="S47" s="8">
        <f>1/COUNTIFS(DATA_TB[To Have Suporte],DATA_TB[[#This Row],[To Have Suporte]])</f>
        <v>0.1</v>
      </c>
      <c r="T47" s="4">
        <f>1</f>
        <v>1</v>
      </c>
    </row>
    <row r="48" spans="1:20" x14ac:dyDescent="0.2">
      <c r="A48" s="5">
        <v>45057.692384259259</v>
      </c>
      <c r="B48" s="4"/>
      <c r="C48" s="4" t="s">
        <v>133</v>
      </c>
      <c r="D48" s="4" t="s">
        <v>16</v>
      </c>
      <c r="E48" s="4" t="s">
        <v>135</v>
      </c>
      <c r="F48" s="4" t="s">
        <v>17</v>
      </c>
      <c r="G48" s="4" t="s">
        <v>18</v>
      </c>
      <c r="H48" s="4" t="s">
        <v>32</v>
      </c>
      <c r="I48" s="4" t="s">
        <v>33</v>
      </c>
      <c r="J48" s="4" t="s">
        <v>61</v>
      </c>
      <c r="K48" s="4" t="s">
        <v>117</v>
      </c>
      <c r="L48" s="4" t="s">
        <v>118</v>
      </c>
      <c r="M48" s="4" t="s">
        <v>106</v>
      </c>
      <c r="N48" s="4" t="s">
        <v>119</v>
      </c>
      <c r="O48" s="4" t="s">
        <v>120</v>
      </c>
      <c r="P48" s="4" t="s">
        <v>121</v>
      </c>
      <c r="Q48" s="6" cm="1">
        <f t="array" ref="Q4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8" s="4" t="s">
        <v>145</v>
      </c>
      <c r="S48" s="8">
        <f>1/COUNTIFS(DATA_TB[To Have Suporte],DATA_TB[[#This Row],[To Have Suporte]])</f>
        <v>0.16666666666666666</v>
      </c>
      <c r="T48" s="4">
        <f>1</f>
        <v>1</v>
      </c>
    </row>
    <row r="49" spans="1:20" x14ac:dyDescent="0.2">
      <c r="A49" s="5">
        <v>45057.709560185183</v>
      </c>
      <c r="B49" s="4"/>
      <c r="C49" s="4" t="s">
        <v>133</v>
      </c>
      <c r="D49" s="4" t="s">
        <v>16</v>
      </c>
      <c r="E49" s="4" t="s">
        <v>135</v>
      </c>
      <c r="F49" s="4" t="s">
        <v>17</v>
      </c>
      <c r="G49" s="4" t="s">
        <v>18</v>
      </c>
      <c r="H49" s="4" t="s">
        <v>45</v>
      </c>
      <c r="I49" s="4" t="s">
        <v>33</v>
      </c>
      <c r="J49" s="4" t="s">
        <v>61</v>
      </c>
      <c r="K49" s="4" t="s">
        <v>122</v>
      </c>
      <c r="L49" s="4" t="s">
        <v>47</v>
      </c>
      <c r="M49" s="4" t="s">
        <v>123</v>
      </c>
      <c r="N49" s="4" t="s">
        <v>124</v>
      </c>
      <c r="O49" s="4" t="s">
        <v>94</v>
      </c>
      <c r="P49" s="4" t="s">
        <v>125</v>
      </c>
      <c r="Q49" s="6" cm="1">
        <f t="array" ref="Q4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9" s="4" t="s">
        <v>146</v>
      </c>
      <c r="S49" s="8">
        <f>1/COUNTIFS(DATA_TB[To Have Suporte],DATA_TB[[#This Row],[To Have Suporte]])</f>
        <v>0.1</v>
      </c>
      <c r="T49" s="4">
        <f>1</f>
        <v>1</v>
      </c>
    </row>
    <row r="50" spans="1:20" x14ac:dyDescent="0.2">
      <c r="A50" s="5">
        <v>45057.859571759262</v>
      </c>
      <c r="B50" s="4"/>
      <c r="C50" s="4" t="s">
        <v>133</v>
      </c>
      <c r="D50" s="4" t="s">
        <v>16</v>
      </c>
      <c r="E50" s="4" t="s">
        <v>135</v>
      </c>
      <c r="F50" s="4" t="s">
        <v>17</v>
      </c>
      <c r="G50" s="4" t="s">
        <v>18</v>
      </c>
      <c r="H50" s="4" t="s">
        <v>19</v>
      </c>
      <c r="I50" s="4" t="s">
        <v>33</v>
      </c>
      <c r="J50" s="4"/>
      <c r="K50" s="4"/>
      <c r="L50" s="4"/>
      <c r="M50" s="4"/>
      <c r="N50" s="4"/>
      <c r="O50" s="4"/>
      <c r="P50" s="4" t="s">
        <v>126</v>
      </c>
      <c r="Q50" s="6" cm="1">
        <f t="array" ref="Q5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0" s="4" t="s">
        <v>146</v>
      </c>
      <c r="S50" s="8">
        <f>1/COUNTIFS(DATA_TB[To Have Suporte],DATA_TB[[#This Row],[To Have Suporte]])</f>
        <v>0.1</v>
      </c>
      <c r="T50" s="4">
        <f>1</f>
        <v>1</v>
      </c>
    </row>
    <row r="51" spans="1:20" x14ac:dyDescent="0.2">
      <c r="A51" s="5">
        <v>45058.148599537039</v>
      </c>
      <c r="B51" s="4"/>
      <c r="C51" s="4" t="s">
        <v>133</v>
      </c>
      <c r="D51" s="4" t="s">
        <v>16</v>
      </c>
      <c r="E51" s="4" t="s">
        <v>137</v>
      </c>
      <c r="F51" s="4" t="s">
        <v>127</v>
      </c>
      <c r="G51" s="4" t="s">
        <v>18</v>
      </c>
      <c r="H51" s="4" t="s">
        <v>19</v>
      </c>
      <c r="I51" s="4" t="s">
        <v>33</v>
      </c>
      <c r="J51" s="4"/>
      <c r="K51" s="4"/>
      <c r="L51" s="4"/>
      <c r="M51" s="4"/>
      <c r="N51" s="4"/>
      <c r="O51" s="4"/>
      <c r="P51" s="4" t="s">
        <v>128</v>
      </c>
      <c r="Q51" s="6" cm="1">
        <f t="array" ref="Q5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1" s="4" t="s">
        <v>81</v>
      </c>
      <c r="S51" s="8">
        <f>1/COUNTIFS(DATA_TB[To Have Suporte],DATA_TB[[#This Row],[To Have Suporte]])</f>
        <v>7.1428571428571425E-2</v>
      </c>
      <c r="T51" s="4">
        <f>1</f>
        <v>1</v>
      </c>
    </row>
    <row r="52" spans="1:20" x14ac:dyDescent="0.2">
      <c r="A52" s="5">
        <v>45059.762870370374</v>
      </c>
      <c r="B52" s="4"/>
      <c r="C52" s="4" t="s">
        <v>130</v>
      </c>
      <c r="D52" s="4" t="s">
        <v>16</v>
      </c>
      <c r="E52" s="4" t="s">
        <v>135</v>
      </c>
      <c r="F52" s="4" t="s">
        <v>17</v>
      </c>
      <c r="G52" s="4" t="s">
        <v>18</v>
      </c>
      <c r="H52" s="4" t="s">
        <v>19</v>
      </c>
      <c r="I52" s="4" t="s">
        <v>33</v>
      </c>
      <c r="J52" s="4"/>
      <c r="K52" s="4"/>
      <c r="L52" s="4"/>
      <c r="M52" s="4"/>
      <c r="N52" s="4"/>
      <c r="O52" s="4"/>
      <c r="P52" s="4" t="s">
        <v>129</v>
      </c>
      <c r="Q52" s="6" cm="1">
        <f t="array" ref="Q5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2" s="4" t="s">
        <v>146</v>
      </c>
      <c r="S52" s="8">
        <f>1/COUNTIFS(DATA_TB[To Have Suporte],DATA_TB[[#This Row],[To Have Suporte]])</f>
        <v>0.1</v>
      </c>
      <c r="T52" s="4">
        <f>1</f>
        <v>1</v>
      </c>
    </row>
    <row r="53" spans="1:20" x14ac:dyDescent="0.2">
      <c r="A53" s="5">
        <v>45067.655555555553</v>
      </c>
      <c r="B53" s="7" t="s">
        <v>139</v>
      </c>
      <c r="C53" s="4" t="s">
        <v>131</v>
      </c>
      <c r="D53" s="4" t="s">
        <v>16</v>
      </c>
      <c r="E53" s="4" t="s">
        <v>135</v>
      </c>
      <c r="F53" s="4" t="s">
        <v>17</v>
      </c>
      <c r="G53" s="4" t="s">
        <v>31</v>
      </c>
      <c r="H53" s="4" t="s">
        <v>19</v>
      </c>
      <c r="I53" s="4" t="s">
        <v>33</v>
      </c>
      <c r="J53" s="4"/>
      <c r="K53" s="4"/>
      <c r="L53" s="4"/>
      <c r="M53" s="4"/>
      <c r="N53" s="4"/>
      <c r="O53" s="4"/>
      <c r="P53" s="4" t="s">
        <v>140</v>
      </c>
      <c r="Q53" s="6" cm="1">
        <f t="array" ref="Q5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3" s="4" t="s">
        <v>143</v>
      </c>
      <c r="S53" s="8">
        <f>1/COUNTIFS(DATA_TB[To Have Suporte],DATA_TB[[#This Row],[To Have Suporte]])</f>
        <v>9.0909090909090912E-2</v>
      </c>
      <c r="T53" s="4">
        <f>1</f>
        <v>1</v>
      </c>
    </row>
    <row r="54" spans="1:20" x14ac:dyDescent="0.2">
      <c r="S54" s="3"/>
    </row>
    <row r="55" spans="1:20" x14ac:dyDescent="0.2">
      <c r="S55" s="3"/>
    </row>
    <row r="56" spans="1:20" x14ac:dyDescent="0.2">
      <c r="S56" s="3"/>
    </row>
    <row r="57" spans="1:20" x14ac:dyDescent="0.2">
      <c r="S57" s="3"/>
    </row>
    <row r="58" spans="1:20" x14ac:dyDescent="0.2">
      <c r="S58" s="3"/>
    </row>
  </sheetData>
  <mergeCells count="1">
    <mergeCell ref="A1:E6"/>
  </mergeCells>
  <phoneticPr fontId="6" type="noConversion"/>
  <hyperlinks>
    <hyperlink ref="B53" r:id="rId1" xr:uid="{60E91EB8-6656-4002-91E6-4923AD1DC78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0A6D-410E-4EAD-A2FB-E52C6ED51960}">
  <dimension ref="A1:F6"/>
  <sheetViews>
    <sheetView showGridLines="0" zoomScale="80" zoomScaleNormal="80" workbookViewId="0">
      <selection sqref="A1:E6"/>
    </sheetView>
  </sheetViews>
  <sheetFormatPr defaultRowHeight="14.25" x14ac:dyDescent="0.2"/>
  <cols>
    <col min="1" max="16384" width="8.88671875" style="1"/>
  </cols>
  <sheetData>
    <row r="1" spans="1:6" s="10" customFormat="1" ht="15" customHeight="1" x14ac:dyDescent="0.2">
      <c r="A1" s="11"/>
      <c r="B1" s="12"/>
      <c r="C1" s="12"/>
      <c r="D1" s="12"/>
      <c r="E1" s="12"/>
      <c r="F1" s="9"/>
    </row>
    <row r="2" spans="1:6" s="10" customFormat="1" ht="15" customHeight="1" x14ac:dyDescent="0.2">
      <c r="A2" s="12"/>
      <c r="B2" s="12"/>
      <c r="C2" s="12"/>
      <c r="D2" s="12"/>
      <c r="E2" s="12"/>
      <c r="F2" s="9"/>
    </row>
    <row r="3" spans="1:6" s="10" customFormat="1" ht="15" customHeight="1" x14ac:dyDescent="0.2">
      <c r="A3" s="12"/>
      <c r="B3" s="12"/>
      <c r="C3" s="12"/>
      <c r="D3" s="12"/>
      <c r="E3" s="12"/>
      <c r="F3" s="9"/>
    </row>
    <row r="4" spans="1:6" s="10" customFormat="1" ht="15" customHeight="1" x14ac:dyDescent="0.2">
      <c r="A4" s="12"/>
      <c r="B4" s="12"/>
      <c r="C4" s="12"/>
      <c r="D4" s="12"/>
      <c r="E4" s="12"/>
      <c r="F4" s="9"/>
    </row>
    <row r="5" spans="1:6" s="10" customFormat="1" x14ac:dyDescent="0.2">
      <c r="A5" s="12"/>
      <c r="B5" s="12"/>
      <c r="C5" s="12"/>
      <c r="D5" s="12"/>
      <c r="E5" s="12"/>
    </row>
    <row r="6" spans="1:6" s="10" customFormat="1" x14ac:dyDescent="0.2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67F6D02E-11FC-421F-9061-AACF80D5E1FE}">
  <ds:schemaRefs/>
</ds:datastoreItem>
</file>

<file path=customXml/itemProps2.xml><?xml version="1.0" encoding="utf-8"?>
<ds:datastoreItem xmlns:ds="http://schemas.openxmlformats.org/officeDocument/2006/customXml" ds:itemID="{7CF4436E-310C-4905-8FA6-E7E20431E17B}">
  <ds:schemaRefs/>
</ds:datastoreItem>
</file>

<file path=customXml/itemProps3.xml><?xml version="1.0" encoding="utf-8"?>
<ds:datastoreItem xmlns:ds="http://schemas.openxmlformats.org/officeDocument/2006/customXml" ds:itemID="{A28FDBED-4B0B-4864-9BAA-F243708D42BA}">
  <ds:schemaRefs/>
</ds:datastoreItem>
</file>

<file path=customXml/itemProps4.xml><?xml version="1.0" encoding="utf-8"?>
<ds:datastoreItem xmlns:ds="http://schemas.openxmlformats.org/officeDocument/2006/customXml" ds:itemID="{E3BBFA9E-73A5-4E2A-8953-0B6472BC0CC8}">
  <ds:schemaRefs/>
</ds:datastoreItem>
</file>

<file path=customXml/itemProps5.xml><?xml version="1.0" encoding="utf-8"?>
<ds:datastoreItem xmlns:ds="http://schemas.openxmlformats.org/officeDocument/2006/customXml" ds:itemID="{6FA4B302-67F7-400E-95F2-7C2DB1C703F5}">
  <ds:schemaRefs/>
</ds:datastoreItem>
</file>

<file path=customXml/itemProps6.xml><?xml version="1.0" encoding="utf-8"?>
<ds:datastoreItem xmlns:ds="http://schemas.openxmlformats.org/officeDocument/2006/customXml" ds:itemID="{E422983C-1E61-4199-9F47-BA2BFAB5FBB9}">
  <ds:schemaRefs/>
</ds:datastoreItem>
</file>

<file path=customXml/itemProps7.xml><?xml version="1.0" encoding="utf-8"?>
<ds:datastoreItem xmlns:ds="http://schemas.openxmlformats.org/officeDocument/2006/customXml" ds:itemID="{226BE396-3AB1-4486-A2A2-1F8C19C8D0FE}">
  <ds:schemaRefs/>
</ds:datastoreItem>
</file>

<file path=customXml/itemProps8.xml><?xml version="1.0" encoding="utf-8"?>
<ds:datastoreItem xmlns:ds="http://schemas.openxmlformats.org/officeDocument/2006/customXml" ds:itemID="{0C1870FE-C6FF-4089-B912-8FA05D6D7338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863FFD55-86D1-4BDF-B2EC-587B3E171781}">
  <ds:schemaRefs/>
</ds:datastoreItem>
</file>

<file path=customXml/itemProps10.xml><?xml version="1.0" encoding="utf-8"?>
<ds:datastoreItem xmlns:ds="http://schemas.openxmlformats.org/officeDocument/2006/customXml" ds:itemID="{C839D123-B2D4-461D-8FBB-7FF55FE359EC}">
  <ds:schemaRefs/>
</ds:datastoreItem>
</file>

<file path=customXml/itemProps11.xml><?xml version="1.0" encoding="utf-8"?>
<ds:datastoreItem xmlns:ds="http://schemas.openxmlformats.org/officeDocument/2006/customXml" ds:itemID="{FB437CC6-9122-4DDC-9098-9BBADE6E7DBA}">
  <ds:schemaRefs/>
</ds:datastoreItem>
</file>

<file path=customXml/itemProps12.xml><?xml version="1.0" encoding="utf-8"?>
<ds:datastoreItem xmlns:ds="http://schemas.openxmlformats.org/officeDocument/2006/customXml" ds:itemID="{819AC619-6541-49F0-AF1F-62D426620523}">
  <ds:schemaRefs/>
</ds:datastoreItem>
</file>

<file path=customXml/itemProps13.xml><?xml version="1.0" encoding="utf-8"?>
<ds:datastoreItem xmlns:ds="http://schemas.openxmlformats.org/officeDocument/2006/customXml" ds:itemID="{C7C953EB-B3F6-4838-B488-83ACF0458D90}">
  <ds:schemaRefs/>
</ds:datastoreItem>
</file>

<file path=customXml/itemProps14.xml><?xml version="1.0" encoding="utf-8"?>
<ds:datastoreItem xmlns:ds="http://schemas.openxmlformats.org/officeDocument/2006/customXml" ds:itemID="{9BB86DE3-B2F0-42B9-90BD-081CEA965DC0}">
  <ds:schemaRefs/>
</ds:datastoreItem>
</file>

<file path=customXml/itemProps15.xml><?xml version="1.0" encoding="utf-8"?>
<ds:datastoreItem xmlns:ds="http://schemas.openxmlformats.org/officeDocument/2006/customXml" ds:itemID="{0994A70C-BB05-4543-AC26-C227D0473B2F}">
  <ds:schemaRefs/>
</ds:datastoreItem>
</file>

<file path=customXml/itemProps16.xml><?xml version="1.0" encoding="utf-8"?>
<ds:datastoreItem xmlns:ds="http://schemas.openxmlformats.org/officeDocument/2006/customXml" ds:itemID="{5FC9BA7B-8907-48C0-B2A7-75B676C8308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DASHBOARD</vt:lpstr>
      <vt:lpstr>BACKEND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</dc:creator>
  <cp:lastModifiedBy>Erick</cp:lastModifiedBy>
  <dcterms:created xsi:type="dcterms:W3CDTF">2023-05-08T12:40:34Z</dcterms:created>
  <dcterms:modified xsi:type="dcterms:W3CDTF">2023-05-23T14:17:18Z</dcterms:modified>
</cp:coreProperties>
</file>